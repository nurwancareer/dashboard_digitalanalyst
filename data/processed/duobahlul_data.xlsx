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nurwaniqbal/Downloads/"/>
    </mc:Choice>
  </mc:AlternateContent>
  <xr:revisionPtr revIDLastSave="0" documentId="13_ncr:1_{2578DF52-DEDF-8048-9E1E-0D219F9EB78A}" xr6:coauthVersionLast="47" xr6:coauthVersionMax="47" xr10:uidLastSave="{00000000-0000-0000-0000-000000000000}"/>
  <bookViews>
    <workbookView xWindow="0" yWindow="0" windowWidth="33600" windowHeight="21000" activeTab="3" xr2:uid="{00000000-000D-0000-FFFF-FFFF00000000}"/>
  </bookViews>
  <sheets>
    <sheet name="duobahlul_videos" sheetId="1" r:id="rId1"/>
    <sheet name="duobahlul_comments" sheetId="2" r:id="rId2"/>
    <sheet name="comments on saniaXduobahlul" sheetId="3" r:id="rId3"/>
    <sheet name="duo_bahlul_categories" sheetId="4" r:id="rId4"/>
  </sheets>
  <definedNames>
    <definedName name="_xlnm._FilterDatabase" localSheetId="2" hidden="1">'comments on saniaXduobahlul'!$A$1:$E$22</definedName>
    <definedName name="_xlnm._FilterDatabase" localSheetId="1" hidden="1">duobahlul_comments!$A$1:$E$1004</definedName>
    <definedName name="_xlnm._FilterDatabase" localSheetId="0" hidden="1">duobahlul_videos!$A$1:$K$52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3" l="1"/>
  <c r="K3" i="3" s="1"/>
  <c r="I11" i="3"/>
  <c r="I10" i="3"/>
  <c r="I9" i="3"/>
  <c r="I8" i="3"/>
  <c r="K4" i="3"/>
  <c r="I4" i="3"/>
  <c r="J4" i="3" s="1"/>
  <c r="J3" i="3"/>
  <c r="I3" i="3"/>
  <c r="K2" i="3"/>
  <c r="K5" i="3" s="1"/>
  <c r="I2" i="3"/>
  <c r="I5" i="3" s="1"/>
  <c r="J5" i="3" s="1"/>
  <c r="B1004" i="2" a="1"/>
  <c r="B1004" i="2" s="1"/>
  <c r="B1003" i="2" a="1"/>
  <c r="B1003" i="2" s="1"/>
  <c r="B1002" i="2" a="1"/>
  <c r="B1002" i="2" s="1"/>
  <c r="B1001" i="2" a="1"/>
  <c r="B1001" i="2" s="1"/>
  <c r="B1000" i="2" a="1"/>
  <c r="B1000" i="2" s="1"/>
  <c r="B999" i="2" a="1"/>
  <c r="B999" i="2" s="1"/>
  <c r="B998" i="2" a="1"/>
  <c r="B998" i="2" s="1"/>
  <c r="B997" i="2" a="1"/>
  <c r="B997" i="2" s="1"/>
  <c r="B996" i="2" a="1"/>
  <c r="B996" i="2" s="1"/>
  <c r="B995" i="2" a="1"/>
  <c r="B995" i="2" s="1"/>
  <c r="B994" i="2" a="1"/>
  <c r="B994" i="2" s="1"/>
  <c r="B993" i="2" a="1"/>
  <c r="B993" i="2"/>
  <c r="B992" i="2" a="1"/>
  <c r="B992" i="2" s="1"/>
  <c r="B991" i="2" a="1"/>
  <c r="B991" i="2"/>
  <c r="B990" i="2" a="1"/>
  <c r="B990" i="2" s="1"/>
  <c r="B989" i="2" a="1"/>
  <c r="B989" i="2" s="1"/>
  <c r="B988" i="2" a="1"/>
  <c r="B988" i="2" s="1"/>
  <c r="B987" i="2" a="1"/>
  <c r="B987" i="2" s="1"/>
  <c r="B986" i="2" a="1"/>
  <c r="B986" i="2" s="1"/>
  <c r="B985" i="2" a="1"/>
  <c r="B985" i="2" s="1"/>
  <c r="B984" i="2" a="1"/>
  <c r="B984" i="2" s="1"/>
  <c r="B983" i="2" a="1"/>
  <c r="B983" i="2" s="1"/>
  <c r="B982" i="2" a="1"/>
  <c r="B982" i="2" s="1"/>
  <c r="B981" i="2" a="1"/>
  <c r="B981" i="2" s="1"/>
  <c r="B980" i="2" a="1"/>
  <c r="B980" i="2" s="1"/>
  <c r="B979" i="2" a="1"/>
  <c r="B979" i="2" s="1"/>
  <c r="B978" i="2" a="1"/>
  <c r="B978" i="2" s="1"/>
  <c r="B977" i="2" a="1"/>
  <c r="B977" i="2"/>
  <c r="B976" i="2" a="1"/>
  <c r="B976" i="2"/>
  <c r="B975" i="2" a="1"/>
  <c r="B975" i="2" s="1"/>
  <c r="B974" i="2" a="1"/>
  <c r="B974" i="2" s="1"/>
  <c r="B973" i="2" a="1"/>
  <c r="B973" i="2" s="1"/>
  <c r="B972" i="2" a="1"/>
  <c r="B972" i="2" s="1"/>
  <c r="B971" i="2" a="1"/>
  <c r="B971" i="2" s="1"/>
  <c r="B970" i="2" a="1"/>
  <c r="B970" i="2" s="1"/>
  <c r="B969" i="2" a="1"/>
  <c r="B969" i="2" s="1"/>
  <c r="B968" i="2" a="1"/>
  <c r="B968" i="2" s="1"/>
  <c r="B967" i="2" a="1"/>
  <c r="B967" i="2" s="1"/>
  <c r="B966" i="2" a="1"/>
  <c r="B966" i="2" s="1"/>
  <c r="B965" i="2" a="1"/>
  <c r="B965" i="2" s="1"/>
  <c r="B964" i="2" a="1"/>
  <c r="B964" i="2" s="1"/>
  <c r="B963" i="2" a="1"/>
  <c r="B963" i="2" s="1"/>
  <c r="B962" i="2" a="1"/>
  <c r="B962" i="2" s="1"/>
  <c r="B961" i="2" a="1"/>
  <c r="B961" i="2"/>
  <c r="B960" i="2" a="1"/>
  <c r="B960" i="2"/>
  <c r="B959" i="2" a="1"/>
  <c r="B959" i="2" s="1"/>
  <c r="B958" i="2" a="1"/>
  <c r="B958" i="2" s="1"/>
  <c r="B957" i="2" a="1"/>
  <c r="B957" i="2" s="1"/>
  <c r="B956" i="2" a="1"/>
  <c r="B956" i="2" s="1"/>
  <c r="B955" i="2" a="1"/>
  <c r="B955" i="2" s="1"/>
  <c r="B954" i="2" a="1"/>
  <c r="B954" i="2" s="1"/>
  <c r="B953" i="2" a="1"/>
  <c r="B953" i="2" s="1"/>
  <c r="B952" i="2" a="1"/>
  <c r="B952" i="2" s="1"/>
  <c r="B951" i="2" a="1"/>
  <c r="B951" i="2"/>
  <c r="B950" i="2" a="1"/>
  <c r="B950" i="2" s="1"/>
  <c r="B949" i="2" a="1"/>
  <c r="B949" i="2" s="1"/>
  <c r="B948" i="2" a="1"/>
  <c r="B948" i="2" s="1"/>
  <c r="B947" i="2" a="1"/>
  <c r="B947" i="2" s="1"/>
  <c r="B946" i="2" a="1"/>
  <c r="B946" i="2" s="1"/>
  <c r="B945" i="2" a="1"/>
  <c r="B945" i="2" s="1"/>
  <c r="B944" i="2" a="1"/>
  <c r="B944" i="2" s="1"/>
  <c r="B943" i="2" a="1"/>
  <c r="B943" i="2" s="1"/>
  <c r="B942" i="2" a="1"/>
  <c r="B942" i="2" s="1"/>
  <c r="B941" i="2" a="1"/>
  <c r="B941" i="2" s="1"/>
  <c r="B940" i="2" a="1"/>
  <c r="B940" i="2" s="1"/>
  <c r="B939" i="2" a="1"/>
  <c r="B939" i="2" s="1"/>
  <c r="B938" i="2" a="1"/>
  <c r="B938" i="2" s="1"/>
  <c r="B937" i="2" a="1"/>
  <c r="B937" i="2" s="1"/>
  <c r="B936" i="2" a="1"/>
  <c r="B936" i="2"/>
  <c r="B935" i="2" a="1"/>
  <c r="B935" i="2" s="1"/>
  <c r="B934" i="2" a="1"/>
  <c r="B934" i="2" s="1"/>
  <c r="B933" i="2" a="1"/>
  <c r="B933" i="2" s="1"/>
  <c r="B932" i="2" a="1"/>
  <c r="B932" i="2" s="1"/>
  <c r="B931" i="2" a="1"/>
  <c r="B931" i="2" s="1"/>
  <c r="B930" i="2" a="1"/>
  <c r="B930" i="2" s="1"/>
  <c r="B929" i="2" a="1"/>
  <c r="B929" i="2" s="1"/>
  <c r="B928" i="2" a="1"/>
  <c r="B928" i="2" s="1"/>
  <c r="B927" i="2" a="1"/>
  <c r="B927" i="2" s="1"/>
  <c r="B926" i="2" a="1"/>
  <c r="B926" i="2" s="1"/>
  <c r="B925" i="2" a="1"/>
  <c r="B925" i="2" s="1"/>
  <c r="B924" i="2" a="1"/>
  <c r="B924" i="2" s="1"/>
  <c r="B923" i="2" a="1"/>
  <c r="B923" i="2"/>
  <c r="B922" i="2" a="1"/>
  <c r="B922" i="2" s="1"/>
  <c r="B921" i="2" a="1"/>
  <c r="B921" i="2" s="1"/>
  <c r="B920" i="2" a="1"/>
  <c r="B920" i="2"/>
  <c r="B919" i="2" a="1"/>
  <c r="B919" i="2" s="1"/>
  <c r="B918" i="2" a="1"/>
  <c r="B918" i="2" s="1"/>
  <c r="B917" i="2" a="1"/>
  <c r="B917" i="2"/>
  <c r="B916" i="2" a="1"/>
  <c r="B916" i="2" s="1"/>
  <c r="B915" i="2" a="1"/>
  <c r="B915" i="2" s="1"/>
  <c r="B914" i="2" a="1"/>
  <c r="B914" i="2" s="1"/>
  <c r="B913" i="2" a="1"/>
  <c r="B913" i="2" s="1"/>
  <c r="B912" i="2" a="1"/>
  <c r="B912" i="2" s="1"/>
  <c r="B911" i="2" a="1"/>
  <c r="B911" i="2" s="1"/>
  <c r="B910" i="2" a="1"/>
  <c r="B910" i="2" s="1"/>
  <c r="B909" i="2" a="1"/>
  <c r="B909" i="2"/>
  <c r="B908" i="2" a="1"/>
  <c r="B908" i="2" s="1"/>
  <c r="B907" i="2" a="1"/>
  <c r="B907" i="2" s="1"/>
  <c r="B906" i="2" a="1"/>
  <c r="B906" i="2" s="1"/>
  <c r="B905" i="2" a="1"/>
  <c r="B905" i="2"/>
  <c r="B904" i="2" a="1"/>
  <c r="B904" i="2"/>
  <c r="B903" i="2" a="1"/>
  <c r="B903" i="2" s="1"/>
  <c r="B902" i="2" a="1"/>
  <c r="B902" i="2" s="1"/>
  <c r="B901" i="2" a="1"/>
  <c r="B901" i="2" s="1"/>
  <c r="B900" i="2" a="1"/>
  <c r="B900" i="2" s="1"/>
  <c r="B899" i="2" a="1"/>
  <c r="B899" i="2" s="1"/>
  <c r="B898" i="2" a="1"/>
  <c r="B898" i="2" s="1"/>
  <c r="B897" i="2" a="1"/>
  <c r="B897" i="2"/>
  <c r="B896" i="2" a="1"/>
  <c r="B896" i="2"/>
  <c r="B895" i="2" a="1"/>
  <c r="B895" i="2" s="1"/>
  <c r="B894" i="2" a="1"/>
  <c r="B894" i="2" s="1"/>
  <c r="B893" i="2" a="1"/>
  <c r="B893" i="2" s="1"/>
  <c r="B892" i="2" a="1"/>
  <c r="B892" i="2" s="1"/>
  <c r="B891" i="2" a="1"/>
  <c r="B891" i="2" s="1"/>
  <c r="B890" i="2" a="1"/>
  <c r="B890" i="2" s="1"/>
  <c r="B889" i="2" a="1"/>
  <c r="B889" i="2" s="1"/>
  <c r="B888" i="2" a="1"/>
  <c r="B888" i="2" s="1"/>
  <c r="B887" i="2" a="1"/>
  <c r="B887" i="2"/>
  <c r="B886" i="2" a="1"/>
  <c r="B886" i="2" s="1"/>
  <c r="B885" i="2" a="1"/>
  <c r="B885" i="2" s="1"/>
  <c r="B884" i="2" a="1"/>
  <c r="B884" i="2" s="1"/>
  <c r="B883" i="2" a="1"/>
  <c r="B883" i="2" s="1"/>
  <c r="B882" i="2" a="1"/>
  <c r="B882" i="2" s="1"/>
  <c r="B881" i="2" a="1"/>
  <c r="B881" i="2" s="1"/>
  <c r="B880" i="2" a="1"/>
  <c r="B880" i="2"/>
  <c r="B879" i="2" a="1"/>
  <c r="B879" i="2"/>
  <c r="B878" i="2" a="1"/>
  <c r="B878" i="2" s="1"/>
  <c r="B877" i="2" a="1"/>
  <c r="B877" i="2" s="1"/>
  <c r="B876" i="2" a="1"/>
  <c r="B876" i="2" s="1"/>
  <c r="B875" i="2" a="1"/>
  <c r="B875" i="2" s="1"/>
  <c r="B874" i="2" a="1"/>
  <c r="B874" i="2" s="1"/>
  <c r="B873" i="2" a="1"/>
  <c r="B873" i="2"/>
  <c r="B872" i="2" a="1"/>
  <c r="B872" i="2" s="1"/>
  <c r="B871" i="2" a="1"/>
  <c r="B871" i="2" s="1"/>
  <c r="B870" i="2" a="1"/>
  <c r="B870" i="2" s="1"/>
  <c r="B869" i="2" a="1"/>
  <c r="B869" i="2" s="1"/>
  <c r="B868" i="2" a="1"/>
  <c r="B868" i="2" s="1"/>
  <c r="B867" i="2" a="1"/>
  <c r="B867" i="2" s="1"/>
  <c r="B866" i="2" a="1"/>
  <c r="B866" i="2" s="1"/>
  <c r="B865" i="2" a="1"/>
  <c r="B865" i="2"/>
  <c r="B864" i="2" a="1"/>
  <c r="B864" i="2" s="1"/>
  <c r="B863" i="2" a="1"/>
  <c r="B863" i="2" s="1"/>
  <c r="B862" i="2" a="1"/>
  <c r="B862" i="2" s="1"/>
  <c r="B861" i="2" a="1"/>
  <c r="B861" i="2" s="1"/>
  <c r="B860" i="2" a="1"/>
  <c r="B860" i="2" s="1"/>
  <c r="B859" i="2" a="1"/>
  <c r="B859" i="2" s="1"/>
  <c r="B858" i="2" a="1"/>
  <c r="B858" i="2" s="1"/>
  <c r="B857" i="2" a="1"/>
  <c r="B857" i="2" s="1"/>
  <c r="B856" i="2" a="1"/>
  <c r="B856" i="2" s="1"/>
  <c r="B855" i="2" a="1"/>
  <c r="B855" i="2" s="1"/>
  <c r="B854" i="2" a="1"/>
  <c r="B854" i="2" s="1"/>
  <c r="B853" i="2" a="1"/>
  <c r="B853" i="2" s="1"/>
  <c r="B852" i="2" a="1"/>
  <c r="B852" i="2" s="1"/>
  <c r="B851" i="2" a="1"/>
  <c r="B851" i="2" s="1"/>
  <c r="B850" i="2" a="1"/>
  <c r="B850" i="2" s="1"/>
  <c r="B849" i="2" a="1"/>
  <c r="B849" i="2"/>
  <c r="B848" i="2" a="1"/>
  <c r="B848" i="2"/>
  <c r="B847" i="2" a="1"/>
  <c r="B847" i="2"/>
  <c r="B846" i="2" a="1"/>
  <c r="B846" i="2" s="1"/>
  <c r="B845" i="2" a="1"/>
  <c r="B845" i="2" s="1"/>
  <c r="B844" i="2" a="1"/>
  <c r="B844" i="2" s="1"/>
  <c r="B843" i="2" a="1"/>
  <c r="B843" i="2" s="1"/>
  <c r="B842" i="2" a="1"/>
  <c r="B842" i="2" s="1"/>
  <c r="B841" i="2" a="1"/>
  <c r="B841" i="2"/>
  <c r="B840" i="2" a="1"/>
  <c r="B840" i="2" s="1"/>
  <c r="B839" i="2" a="1"/>
  <c r="B839" i="2" s="1"/>
  <c r="B838" i="2" a="1"/>
  <c r="B838" i="2" s="1"/>
  <c r="B837" i="2" a="1"/>
  <c r="B837" i="2" s="1"/>
  <c r="B836" i="2" a="1"/>
  <c r="B836" i="2" s="1"/>
  <c r="B835" i="2" a="1"/>
  <c r="B835" i="2" s="1"/>
  <c r="B834" i="2" a="1"/>
  <c r="B834" i="2" s="1"/>
  <c r="B833" i="2" a="1"/>
  <c r="B833" i="2"/>
  <c r="B832" i="2" a="1"/>
  <c r="B832" i="2" s="1"/>
  <c r="B831" i="2" a="1"/>
  <c r="B831" i="2" s="1"/>
  <c r="B830" i="2" a="1"/>
  <c r="B830" i="2" s="1"/>
  <c r="B829" i="2" a="1"/>
  <c r="B829" i="2" s="1"/>
  <c r="B828" i="2" a="1"/>
  <c r="B828" i="2" s="1"/>
  <c r="B827" i="2" a="1"/>
  <c r="B827" i="2" s="1"/>
  <c r="B826" i="2" a="1"/>
  <c r="B826" i="2" s="1"/>
  <c r="B825" i="2" a="1"/>
  <c r="B825" i="2"/>
  <c r="B824" i="2" a="1"/>
  <c r="B824" i="2"/>
  <c r="B823" i="2" a="1"/>
  <c r="B823" i="2" s="1"/>
  <c r="B822" i="2" a="1"/>
  <c r="B822" i="2" s="1"/>
  <c r="B821" i="2" a="1"/>
  <c r="B821" i="2" s="1"/>
  <c r="B820" i="2" a="1"/>
  <c r="B820" i="2" s="1"/>
  <c r="B819" i="2" a="1"/>
  <c r="B819" i="2" s="1"/>
  <c r="B818" i="2" a="1"/>
  <c r="B818" i="2" s="1"/>
  <c r="B817" i="2" a="1"/>
  <c r="B817" i="2" s="1"/>
  <c r="B816" i="2" a="1"/>
  <c r="B816" i="2" s="1"/>
  <c r="B815" i="2" a="1"/>
  <c r="B815" i="2" s="1"/>
  <c r="B814" i="2" a="1"/>
  <c r="B814" i="2" s="1"/>
  <c r="B813" i="2" a="1"/>
  <c r="B813" i="2"/>
  <c r="B812" i="2" a="1"/>
  <c r="B812" i="2" s="1"/>
  <c r="B811" i="2" a="1"/>
  <c r="B811" i="2" s="1"/>
  <c r="B810" i="2" a="1"/>
  <c r="B810" i="2" s="1"/>
  <c r="B809" i="2" a="1"/>
  <c r="B809" i="2" s="1"/>
  <c r="B808" i="2" a="1"/>
  <c r="B808" i="2"/>
  <c r="B807" i="2" a="1"/>
  <c r="B807" i="2"/>
  <c r="B806" i="2" a="1"/>
  <c r="B806" i="2" s="1"/>
  <c r="B805" i="2" a="1"/>
  <c r="B805" i="2" s="1"/>
  <c r="B804" i="2" a="1"/>
  <c r="B804" i="2" s="1"/>
  <c r="B803" i="2" a="1"/>
  <c r="B803" i="2"/>
  <c r="B802" i="2" a="1"/>
  <c r="B802" i="2" s="1"/>
  <c r="B801" i="2" a="1"/>
  <c r="B801" i="2" s="1"/>
  <c r="B800" i="2" a="1"/>
  <c r="B800" i="2" s="1"/>
  <c r="B799" i="2" a="1"/>
  <c r="B799" i="2" s="1"/>
  <c r="B798" i="2" a="1"/>
  <c r="B798" i="2" s="1"/>
  <c r="B797" i="2" a="1"/>
  <c r="B797" i="2" s="1"/>
  <c r="B796" i="2" a="1"/>
  <c r="B796" i="2" s="1"/>
  <c r="B795" i="2" a="1"/>
  <c r="B795" i="2" s="1"/>
  <c r="B794" i="2" a="1"/>
  <c r="B794" i="2" s="1"/>
  <c r="B793" i="2" a="1"/>
  <c r="B793" i="2" s="1"/>
  <c r="B792" i="2" a="1"/>
  <c r="B792" i="2" s="1"/>
  <c r="B791" i="2" a="1"/>
  <c r="B791" i="2" s="1"/>
  <c r="B790" i="2" a="1"/>
  <c r="B790" i="2" s="1"/>
  <c r="B789" i="2" a="1"/>
  <c r="B789" i="2" s="1"/>
  <c r="B788" i="2" a="1"/>
  <c r="B788" i="2" s="1"/>
  <c r="B787" i="2" a="1"/>
  <c r="B787" i="2" s="1"/>
  <c r="B786" i="2" a="1"/>
  <c r="B786" i="2" s="1"/>
  <c r="B785" i="2" a="1"/>
  <c r="B785" i="2" s="1"/>
  <c r="B784" i="2" a="1"/>
  <c r="B784" i="2" s="1"/>
  <c r="B783" i="2" a="1"/>
  <c r="B783" i="2" s="1"/>
  <c r="B782" i="2" a="1"/>
  <c r="B782" i="2" s="1"/>
  <c r="B781" i="2" a="1"/>
  <c r="B781" i="2"/>
  <c r="B780" i="2" a="1"/>
  <c r="B780" i="2" s="1"/>
  <c r="B779" i="2" a="1"/>
  <c r="B779" i="2" s="1"/>
  <c r="B778" i="2" a="1"/>
  <c r="B778" i="2" s="1"/>
  <c r="B777" i="2" a="1"/>
  <c r="B777" i="2" s="1"/>
  <c r="B776" i="2" a="1"/>
  <c r="B776" i="2" s="1"/>
  <c r="B775" i="2" a="1"/>
  <c r="B775" i="2"/>
  <c r="B774" i="2" a="1"/>
  <c r="B774" i="2" s="1"/>
  <c r="B773" i="2" a="1"/>
  <c r="B773" i="2" s="1"/>
  <c r="B772" i="2" a="1"/>
  <c r="B772" i="2" s="1"/>
  <c r="B771" i="2" a="1"/>
  <c r="B771" i="2" s="1"/>
  <c r="B770" i="2" a="1"/>
  <c r="B770" i="2" s="1"/>
  <c r="B769" i="2" a="1"/>
  <c r="B769" i="2"/>
  <c r="B768" i="2" a="1"/>
  <c r="B768" i="2" s="1"/>
  <c r="B767" i="2" a="1"/>
  <c r="B767" i="2" s="1"/>
  <c r="B766" i="2" a="1"/>
  <c r="B766" i="2" s="1"/>
  <c r="B765" i="2" a="1"/>
  <c r="B765" i="2" s="1"/>
  <c r="B764" i="2" a="1"/>
  <c r="B764" i="2" s="1"/>
  <c r="B763" i="2" a="1"/>
  <c r="B763" i="2" s="1"/>
  <c r="B762" i="2" a="1"/>
  <c r="B762" i="2" s="1"/>
  <c r="B761" i="2" a="1"/>
  <c r="B761" i="2" s="1"/>
  <c r="B760" i="2" a="1"/>
  <c r="B760" i="2" s="1"/>
  <c r="B759" i="2" a="1"/>
  <c r="B759" i="2" s="1"/>
  <c r="B758" i="2" a="1"/>
  <c r="B758" i="2" s="1"/>
  <c r="B757" i="2" a="1"/>
  <c r="B757" i="2" s="1"/>
  <c r="B756" i="2" a="1"/>
  <c r="B756" i="2" s="1"/>
  <c r="B755" i="2" a="1"/>
  <c r="B755" i="2" s="1"/>
  <c r="B754" i="2" a="1"/>
  <c r="B754" i="2" s="1"/>
  <c r="B753" i="2" a="1"/>
  <c r="B753" i="2" s="1"/>
  <c r="B752" i="2" a="1"/>
  <c r="B752" i="2" s="1"/>
  <c r="B751" i="2" a="1"/>
  <c r="B751" i="2" s="1"/>
  <c r="B750" i="2" a="1"/>
  <c r="B750" i="2" s="1"/>
  <c r="B749" i="2" a="1"/>
  <c r="B749" i="2" s="1"/>
  <c r="B748" i="2" a="1"/>
  <c r="B748" i="2" s="1"/>
  <c r="B747" i="2" a="1"/>
  <c r="B747" i="2" s="1"/>
  <c r="B746" i="2" a="1"/>
  <c r="B746" i="2" s="1"/>
  <c r="B745" i="2" a="1"/>
  <c r="B745" i="2" s="1"/>
  <c r="B744" i="2" a="1"/>
  <c r="B744" i="2" s="1"/>
  <c r="B743" i="2" a="1"/>
  <c r="B743" i="2" s="1"/>
  <c r="B742" i="2" a="1"/>
  <c r="B742" i="2" s="1"/>
  <c r="B741" i="2" a="1"/>
  <c r="B741" i="2" s="1"/>
  <c r="B740" i="2" a="1"/>
  <c r="B740" i="2"/>
  <c r="B739" i="2" a="1"/>
  <c r="B739" i="2" s="1"/>
  <c r="B738" i="2" a="1"/>
  <c r="B738" i="2" s="1"/>
  <c r="B737" i="2" a="1"/>
  <c r="B737" i="2" s="1"/>
  <c r="B736" i="2" a="1"/>
  <c r="B736" i="2" s="1"/>
  <c r="B735" i="2" a="1"/>
  <c r="B735" i="2"/>
  <c r="B734" i="2" a="1"/>
  <c r="B734" i="2" s="1"/>
  <c r="B733" i="2" a="1"/>
  <c r="B733" i="2" s="1"/>
  <c r="B732" i="2" a="1"/>
  <c r="B732" i="2" s="1"/>
  <c r="B731" i="2" a="1"/>
  <c r="B731" i="2" s="1"/>
  <c r="B730" i="2" a="1"/>
  <c r="B730" i="2" s="1"/>
  <c r="B729" i="2" a="1"/>
  <c r="B729" i="2" s="1"/>
  <c r="B728" i="2" a="1"/>
  <c r="B728" i="2" s="1"/>
  <c r="B727" i="2" a="1"/>
  <c r="B727" i="2" s="1"/>
  <c r="B726" i="2" a="1"/>
  <c r="B726" i="2" s="1"/>
  <c r="B725" i="2" a="1"/>
  <c r="B725" i="2" s="1"/>
  <c r="B724" i="2" a="1"/>
  <c r="B724" i="2" s="1"/>
  <c r="B723" i="2" a="1"/>
  <c r="B723" i="2" s="1"/>
  <c r="B722" i="2" a="1"/>
  <c r="B722" i="2" s="1"/>
  <c r="B721" i="2" a="1"/>
  <c r="B721" i="2" s="1"/>
  <c r="B720" i="2" a="1"/>
  <c r="B720" i="2" s="1"/>
  <c r="B719" i="2" a="1"/>
  <c r="B719" i="2" s="1"/>
  <c r="B718" i="2" a="1"/>
  <c r="B718" i="2" s="1"/>
  <c r="B717" i="2" a="1"/>
  <c r="B717" i="2" s="1"/>
  <c r="B716" i="2" a="1"/>
  <c r="B716" i="2" s="1"/>
  <c r="B715" i="2" a="1"/>
  <c r="B715" i="2" s="1"/>
  <c r="B714" i="2" a="1"/>
  <c r="B714" i="2" s="1"/>
  <c r="B713" i="2" a="1"/>
  <c r="B713" i="2" s="1"/>
  <c r="B712" i="2" a="1"/>
  <c r="B712" i="2" s="1"/>
  <c r="B711" i="2" a="1"/>
  <c r="B711" i="2" s="1"/>
  <c r="B710" i="2" a="1"/>
  <c r="B710" i="2" s="1"/>
  <c r="B709" i="2" a="1"/>
  <c r="B709" i="2" s="1"/>
  <c r="B708" i="2" a="1"/>
  <c r="B708" i="2" s="1"/>
  <c r="B707" i="2" a="1"/>
  <c r="B707" i="2" s="1"/>
  <c r="B706" i="2" a="1"/>
  <c r="B706" i="2" s="1"/>
  <c r="B705" i="2" a="1"/>
  <c r="B705" i="2"/>
  <c r="B704" i="2" a="1"/>
  <c r="B704" i="2" s="1"/>
  <c r="B703" i="2" a="1"/>
  <c r="B703" i="2" s="1"/>
  <c r="B702" i="2" a="1"/>
  <c r="B702" i="2" s="1"/>
  <c r="B701" i="2" a="1"/>
  <c r="B701" i="2" s="1"/>
  <c r="B700" i="2" a="1"/>
  <c r="B700" i="2" s="1"/>
  <c r="B699" i="2" a="1"/>
  <c r="B699" i="2"/>
  <c r="B698" i="2" a="1"/>
  <c r="B698" i="2" s="1"/>
  <c r="B697" i="2" a="1"/>
  <c r="B697" i="2" s="1"/>
  <c r="B696" i="2" a="1"/>
  <c r="B696" i="2"/>
  <c r="B695" i="2" a="1"/>
  <c r="B695" i="2" s="1"/>
  <c r="B694" i="2" a="1"/>
  <c r="B694" i="2" s="1"/>
  <c r="B693" i="2" a="1"/>
  <c r="B693" i="2"/>
  <c r="B692" i="2" a="1"/>
  <c r="B692" i="2" s="1"/>
  <c r="B691" i="2" a="1"/>
  <c r="B691" i="2" s="1"/>
  <c r="B690" i="2" a="1"/>
  <c r="B690" i="2" s="1"/>
  <c r="B689" i="2" a="1"/>
  <c r="B689" i="2" s="1"/>
  <c r="B688" i="2" a="1"/>
  <c r="B688" i="2" s="1"/>
  <c r="B687" i="2" a="1"/>
  <c r="B687" i="2" s="1"/>
  <c r="B686" i="2" a="1"/>
  <c r="B686" i="2" s="1"/>
  <c r="B685" i="2" a="1"/>
  <c r="B685" i="2" s="1"/>
  <c r="B684" i="2" a="1"/>
  <c r="B684" i="2" s="1"/>
  <c r="B683" i="2" a="1"/>
  <c r="B683" i="2" s="1"/>
  <c r="B682" i="2" a="1"/>
  <c r="B682" i="2" s="1"/>
  <c r="B681" i="2" a="1"/>
  <c r="B681" i="2" s="1"/>
  <c r="B680" i="2" a="1"/>
  <c r="B680" i="2"/>
  <c r="B679" i="2" a="1"/>
  <c r="B679" i="2" s="1"/>
  <c r="B678" i="2" a="1"/>
  <c r="B678" i="2" s="1"/>
  <c r="B677" i="2" a="1"/>
  <c r="B677" i="2" s="1"/>
  <c r="B676" i="2" a="1"/>
  <c r="B676" i="2" s="1"/>
  <c r="B675" i="2" a="1"/>
  <c r="B675" i="2" s="1"/>
  <c r="B674" i="2" a="1"/>
  <c r="B674" i="2" s="1"/>
  <c r="B673" i="2" a="1"/>
  <c r="B673" i="2" s="1"/>
  <c r="B672" i="2" a="1"/>
  <c r="B672" i="2" s="1"/>
  <c r="B671" i="2" a="1"/>
  <c r="B671" i="2"/>
  <c r="B670" i="2" a="1"/>
  <c r="B670" i="2" s="1"/>
  <c r="B669" i="2" a="1"/>
  <c r="B669" i="2" s="1"/>
  <c r="B668" i="2" a="1"/>
  <c r="B668" i="2" s="1"/>
  <c r="B667" i="2" a="1"/>
  <c r="B667" i="2" s="1"/>
  <c r="B666" i="2" a="1"/>
  <c r="B666" i="2" s="1"/>
  <c r="B665" i="2" a="1"/>
  <c r="B665" i="2"/>
  <c r="B664" i="2" a="1"/>
  <c r="B664" i="2" s="1"/>
  <c r="B663" i="2" a="1"/>
  <c r="B663" i="2" s="1"/>
  <c r="B662" i="2" a="1"/>
  <c r="B662" i="2"/>
  <c r="B661" i="2" a="1"/>
  <c r="B661" i="2" s="1"/>
  <c r="B660" i="2" a="1"/>
  <c r="B660" i="2" s="1"/>
  <c r="B659" i="2" a="1"/>
  <c r="B659" i="2" s="1"/>
  <c r="B658" i="2" a="1"/>
  <c r="B658" i="2" s="1"/>
  <c r="B657" i="2" a="1"/>
  <c r="B657" i="2" s="1"/>
  <c r="B656" i="2" a="1"/>
  <c r="B656" i="2" s="1"/>
  <c r="B655" i="2" a="1"/>
  <c r="B655" i="2" s="1"/>
  <c r="B654" i="2" a="1"/>
  <c r="B654" i="2" s="1"/>
  <c r="B653" i="2" a="1"/>
  <c r="B653" i="2" s="1"/>
  <c r="B652" i="2" a="1"/>
  <c r="B652" i="2" s="1"/>
  <c r="B651" i="2" a="1"/>
  <c r="B651" i="2" s="1"/>
  <c r="B650" i="2" a="1"/>
  <c r="B650" i="2" s="1"/>
  <c r="B649" i="2" a="1"/>
  <c r="B649" i="2" s="1"/>
  <c r="B648" i="2" a="1"/>
  <c r="B648" i="2" s="1"/>
  <c r="B647" i="2" a="1"/>
  <c r="B647" i="2" s="1"/>
  <c r="B646" i="2" a="1"/>
  <c r="B646" i="2" s="1"/>
  <c r="B645" i="2" a="1"/>
  <c r="B645" i="2" s="1"/>
  <c r="B644" i="2" a="1"/>
  <c r="B644" i="2" s="1"/>
  <c r="B643" i="2" a="1"/>
  <c r="B643" i="2" s="1"/>
  <c r="B642" i="2" a="1"/>
  <c r="B642" i="2"/>
  <c r="B641" i="2" a="1"/>
  <c r="B641" i="2" s="1"/>
  <c r="B640" i="2" a="1"/>
  <c r="B640" i="2"/>
  <c r="B639" i="2" a="1"/>
  <c r="B639" i="2" s="1"/>
  <c r="B638" i="2" a="1"/>
  <c r="B638" i="2" s="1"/>
  <c r="B637" i="2" a="1"/>
  <c r="B637" i="2" s="1"/>
  <c r="B636" i="2" a="1"/>
  <c r="B636" i="2"/>
  <c r="B635" i="2" a="1"/>
  <c r="B635" i="2" s="1"/>
  <c r="B634" i="2" a="1"/>
  <c r="B634" i="2"/>
  <c r="B633" i="2" a="1"/>
  <c r="B633" i="2"/>
  <c r="B632" i="2" a="1"/>
  <c r="B632" i="2" s="1"/>
  <c r="B631" i="2" a="1"/>
  <c r="B631" i="2" s="1"/>
  <c r="B630" i="2" a="1"/>
  <c r="B630" i="2" s="1"/>
  <c r="B629" i="2" a="1"/>
  <c r="B629" i="2" s="1"/>
  <c r="B628" i="2" a="1"/>
  <c r="B628" i="2" s="1"/>
  <c r="B627" i="2" a="1"/>
  <c r="B627" i="2" s="1"/>
  <c r="B626" i="2" a="1"/>
  <c r="B626" i="2"/>
  <c r="B625" i="2" a="1"/>
  <c r="B625" i="2" s="1"/>
  <c r="B624" i="2" a="1"/>
  <c r="B624" i="2" s="1"/>
  <c r="B623" i="2" a="1"/>
  <c r="B623" i="2" s="1"/>
  <c r="B622" i="2" a="1"/>
  <c r="B622" i="2"/>
  <c r="B621" i="2" a="1"/>
  <c r="B621" i="2" s="1"/>
  <c r="B620" i="2" a="1"/>
  <c r="B620" i="2" s="1"/>
  <c r="B619" i="2" a="1"/>
  <c r="B619" i="2" s="1"/>
  <c r="B618" i="2" a="1"/>
  <c r="B618" i="2" s="1"/>
  <c r="B617" i="2" a="1"/>
  <c r="B617" i="2" s="1"/>
  <c r="B616" i="2" a="1"/>
  <c r="B616" i="2"/>
  <c r="B615" i="2" a="1"/>
  <c r="B615" i="2" s="1"/>
  <c r="B614" i="2" a="1"/>
  <c r="B614" i="2" s="1"/>
  <c r="B613" i="2" a="1"/>
  <c r="B613" i="2" s="1"/>
  <c r="B612" i="2" a="1"/>
  <c r="B612" i="2" s="1"/>
  <c r="B611" i="2" a="1"/>
  <c r="B611" i="2" s="1"/>
  <c r="B610" i="2" a="1"/>
  <c r="B610" i="2" s="1"/>
  <c r="B609" i="2" a="1"/>
  <c r="B609" i="2"/>
  <c r="B608" i="2" a="1"/>
  <c r="B608" i="2" s="1"/>
  <c r="B607" i="2" a="1"/>
  <c r="B607" i="2" s="1"/>
  <c r="B606" i="2" a="1"/>
  <c r="B606" i="2" s="1"/>
  <c r="B605" i="2" a="1"/>
  <c r="B605" i="2"/>
  <c r="B604" i="2" a="1"/>
  <c r="B604" i="2"/>
  <c r="B603" i="2" a="1"/>
  <c r="B603" i="2" s="1"/>
  <c r="B602" i="2" a="1"/>
  <c r="B602" i="2" s="1"/>
  <c r="B601" i="2" a="1"/>
  <c r="B601" i="2" s="1"/>
  <c r="B600" i="2" a="1"/>
  <c r="B600" i="2" s="1"/>
  <c r="B599" i="2" a="1"/>
  <c r="B599" i="2" s="1"/>
  <c r="B598" i="2" a="1"/>
  <c r="B598" i="2" s="1"/>
  <c r="B597" i="2" a="1"/>
  <c r="B597" i="2"/>
  <c r="B596" i="2" a="1"/>
  <c r="B596" i="2"/>
  <c r="B595" i="2" a="1"/>
  <c r="B595" i="2" s="1"/>
  <c r="B594" i="2" a="1"/>
  <c r="B594" i="2" s="1"/>
  <c r="B593" i="2" a="1"/>
  <c r="B593" i="2"/>
  <c r="B592" i="2" a="1"/>
  <c r="B592" i="2" s="1"/>
  <c r="B591" i="2" a="1"/>
  <c r="B591" i="2" s="1"/>
  <c r="B590" i="2" a="1"/>
  <c r="B590" i="2"/>
  <c r="B589" i="2" a="1"/>
  <c r="B589" i="2" s="1"/>
  <c r="B588" i="2" a="1"/>
  <c r="B588" i="2" s="1"/>
  <c r="B587" i="2" a="1"/>
  <c r="B587" i="2" s="1"/>
  <c r="B586" i="2" a="1"/>
  <c r="B586" i="2"/>
  <c r="B585" i="2" a="1"/>
  <c r="B585" i="2" s="1"/>
  <c r="B584" i="2" a="1"/>
  <c r="B584" i="2" s="1"/>
  <c r="B583" i="2" a="1"/>
  <c r="B583" i="2" s="1"/>
  <c r="B582" i="2" a="1"/>
  <c r="B582" i="2" s="1"/>
  <c r="B581" i="2" a="1"/>
  <c r="B581" i="2" s="1"/>
  <c r="B580" i="2" a="1"/>
  <c r="B580" i="2" s="1"/>
  <c r="B579" i="2" a="1"/>
  <c r="B579" i="2" s="1"/>
  <c r="B578" i="2" a="1"/>
  <c r="B578" i="2" s="1"/>
  <c r="B577" i="2" a="1"/>
  <c r="B577" i="2" s="1"/>
  <c r="B576" i="2" a="1"/>
  <c r="B576" i="2" s="1"/>
  <c r="B575" i="2" a="1"/>
  <c r="B575" i="2" s="1"/>
  <c r="B574" i="2" a="1"/>
  <c r="B574" i="2" s="1"/>
  <c r="B573" i="2" a="1"/>
  <c r="B573" i="2" s="1"/>
  <c r="B572" i="2" a="1"/>
  <c r="B572" i="2" s="1"/>
  <c r="B571" i="2" a="1"/>
  <c r="B571" i="2" s="1"/>
  <c r="B570" i="2" a="1"/>
  <c r="B570" i="2" s="1"/>
  <c r="B569" i="2" a="1"/>
  <c r="B569" i="2" s="1"/>
  <c r="B568" i="2" a="1"/>
  <c r="B568" i="2" s="1"/>
  <c r="B567" i="2" a="1"/>
  <c r="B567" i="2" s="1"/>
  <c r="B566" i="2" a="1"/>
  <c r="B566" i="2" s="1"/>
  <c r="B565" i="2" a="1"/>
  <c r="B565" i="2" s="1"/>
  <c r="B564" i="2" a="1"/>
  <c r="B564" i="2"/>
  <c r="B563" i="2" a="1"/>
  <c r="B563" i="2" s="1"/>
  <c r="B562" i="2" a="1"/>
  <c r="B562" i="2" s="1"/>
  <c r="B561" i="2" a="1"/>
  <c r="B561" i="2" s="1"/>
  <c r="B560" i="2" a="1"/>
  <c r="B560" i="2" s="1"/>
  <c r="B559" i="2" a="1"/>
  <c r="B559" i="2" s="1"/>
  <c r="B558" i="2" a="1"/>
  <c r="B558" i="2" s="1"/>
  <c r="B557" i="2" a="1"/>
  <c r="B557" i="2" s="1"/>
  <c r="B556" i="2" a="1"/>
  <c r="B556" i="2" s="1"/>
  <c r="B555" i="2" a="1"/>
  <c r="B555" i="2" s="1"/>
  <c r="B554" i="2" a="1"/>
  <c r="B554" i="2" s="1"/>
  <c r="B553" i="2" a="1"/>
  <c r="B553" i="2" s="1"/>
  <c r="B552" i="2" a="1"/>
  <c r="B552" i="2"/>
  <c r="B551" i="2" a="1"/>
  <c r="B551" i="2" s="1"/>
  <c r="B550" i="2" a="1"/>
  <c r="B550" i="2" s="1"/>
  <c r="B549" i="2" a="1"/>
  <c r="B549" i="2" s="1"/>
  <c r="B548" i="2" a="1"/>
  <c r="B548" i="2" s="1"/>
  <c r="B547" i="2" a="1"/>
  <c r="B547" i="2" s="1"/>
  <c r="B546" i="2" a="1"/>
  <c r="B546" i="2" s="1"/>
  <c r="B545" i="2" a="1"/>
  <c r="B545" i="2"/>
  <c r="B544" i="2" a="1"/>
  <c r="B544" i="2" s="1"/>
  <c r="B543" i="2" a="1"/>
  <c r="B543" i="2" s="1"/>
  <c r="B542" i="2" a="1"/>
  <c r="B542" i="2" s="1"/>
  <c r="B541" i="2" a="1"/>
  <c r="B541" i="2" s="1"/>
  <c r="B540" i="2" a="1"/>
  <c r="B540" i="2"/>
  <c r="B539" i="2" a="1"/>
  <c r="B539" i="2" s="1"/>
  <c r="B538" i="2" a="1"/>
  <c r="B538" i="2" s="1"/>
  <c r="B537" i="2" a="1"/>
  <c r="B537" i="2" s="1"/>
  <c r="B536" i="2" a="1"/>
  <c r="B536" i="2" s="1"/>
  <c r="B535" i="2" a="1"/>
  <c r="B535" i="2" s="1"/>
  <c r="B534" i="2" a="1"/>
  <c r="B534" i="2" s="1"/>
  <c r="B533" i="2" a="1"/>
  <c r="B533" i="2" s="1"/>
  <c r="B532" i="2" a="1"/>
  <c r="B532" i="2" s="1"/>
  <c r="B531" i="2" a="1"/>
  <c r="B531" i="2" s="1"/>
  <c r="B530" i="2" a="1"/>
  <c r="B530" i="2" s="1"/>
  <c r="B529" i="2" a="1"/>
  <c r="B529" i="2" s="1"/>
  <c r="B528" i="2" a="1"/>
  <c r="B528" i="2" s="1"/>
  <c r="B527" i="2" a="1"/>
  <c r="B527" i="2" s="1"/>
  <c r="B526" i="2" a="1"/>
  <c r="B526" i="2" s="1"/>
  <c r="B525" i="2" a="1"/>
  <c r="B525" i="2" s="1"/>
  <c r="B524" i="2" a="1"/>
  <c r="B524" i="2" s="1"/>
  <c r="B523" i="2" a="1"/>
  <c r="B523" i="2" s="1"/>
  <c r="B522" i="2" a="1"/>
  <c r="B522" i="2" s="1"/>
  <c r="B521" i="2" a="1"/>
  <c r="B521" i="2" s="1"/>
  <c r="B520" i="2" a="1"/>
  <c r="B520" i="2" s="1"/>
  <c r="B519" i="2" a="1"/>
  <c r="B519" i="2" s="1"/>
  <c r="B518" i="2" a="1"/>
  <c r="B518" i="2" s="1"/>
  <c r="B517" i="2" a="1"/>
  <c r="B517" i="2" s="1"/>
  <c r="B516" i="2" a="1"/>
  <c r="B516" i="2" s="1"/>
  <c r="B515" i="2" a="1"/>
  <c r="B515" i="2" s="1"/>
  <c r="B514" i="2" a="1"/>
  <c r="B514" i="2" s="1"/>
  <c r="B513" i="2" a="1"/>
  <c r="B513" i="2"/>
  <c r="B512" i="2" a="1"/>
  <c r="B512" i="2"/>
  <c r="B511" i="2" a="1"/>
  <c r="B511" i="2"/>
  <c r="B510" i="2" a="1"/>
  <c r="B510" i="2" s="1"/>
  <c r="B509" i="2" a="1"/>
  <c r="B509" i="2" s="1"/>
  <c r="B508" i="2" a="1"/>
  <c r="B508" i="2" s="1"/>
  <c r="B507" i="2" a="1"/>
  <c r="B507" i="2" s="1"/>
  <c r="B506" i="2" a="1"/>
  <c r="B506" i="2" s="1"/>
  <c r="B505" i="2" a="1"/>
  <c r="B505" i="2" s="1"/>
  <c r="B504" i="2" a="1"/>
  <c r="B504" i="2"/>
  <c r="B503" i="2" a="1"/>
  <c r="B503" i="2" s="1"/>
  <c r="B502" i="2" a="1"/>
  <c r="B502" i="2" s="1"/>
  <c r="B501" i="2" a="1"/>
  <c r="B501" i="2" s="1"/>
  <c r="B500" i="2" a="1"/>
  <c r="B500" i="2" s="1"/>
  <c r="B499" i="2" a="1"/>
  <c r="B499" i="2"/>
  <c r="B498" i="2" a="1"/>
  <c r="B498" i="2" s="1"/>
  <c r="B497" i="2" a="1"/>
  <c r="B497" i="2" s="1"/>
  <c r="B496" i="2" a="1"/>
  <c r="B496" i="2" s="1"/>
  <c r="B495" i="2" a="1"/>
  <c r="B495" i="2" s="1"/>
  <c r="B494" i="2" a="1"/>
  <c r="B494" i="2" s="1"/>
  <c r="B493" i="2" a="1"/>
  <c r="B493" i="2" s="1"/>
  <c r="B492" i="2" a="1"/>
  <c r="B492" i="2" s="1"/>
  <c r="B491" i="2" a="1"/>
  <c r="B491" i="2" s="1"/>
  <c r="B490" i="2" a="1"/>
  <c r="B490" i="2" s="1"/>
  <c r="B489" i="2" a="1"/>
  <c r="B489" i="2" s="1"/>
  <c r="B488" i="2" a="1"/>
  <c r="B488" i="2" s="1"/>
  <c r="B487" i="2" a="1"/>
  <c r="B487" i="2" s="1"/>
  <c r="B486" i="2" a="1"/>
  <c r="B486" i="2" s="1"/>
  <c r="B485" i="2" a="1"/>
  <c r="B485" i="2" s="1"/>
  <c r="B484" i="2" a="1"/>
  <c r="B484" i="2" s="1"/>
  <c r="B483" i="2" a="1"/>
  <c r="B483" i="2" s="1"/>
  <c r="B482" i="2" a="1"/>
  <c r="B482" i="2" s="1"/>
  <c r="B481" i="2" a="1"/>
  <c r="B481" i="2" s="1"/>
  <c r="B480" i="2" a="1"/>
  <c r="B480" i="2"/>
  <c r="B479" i="2" a="1"/>
  <c r="B479" i="2" s="1"/>
  <c r="B478" i="2" a="1"/>
  <c r="B478" i="2" s="1"/>
  <c r="B477" i="2" a="1"/>
  <c r="B477" i="2" s="1"/>
  <c r="B476" i="2" a="1"/>
  <c r="B476" i="2" s="1"/>
  <c r="B475" i="2" a="1"/>
  <c r="B475" i="2" s="1"/>
  <c r="B474" i="2" a="1"/>
  <c r="B474" i="2" s="1"/>
  <c r="B473" i="2" a="1"/>
  <c r="B473" i="2" s="1"/>
  <c r="B472" i="2" a="1"/>
  <c r="B472" i="2" s="1"/>
  <c r="B471" i="2" a="1"/>
  <c r="B471" i="2" s="1"/>
  <c r="B470" i="2" a="1"/>
  <c r="B470" i="2" s="1"/>
  <c r="B469" i="2" a="1"/>
  <c r="B469" i="2" s="1"/>
  <c r="B468" i="2" a="1"/>
  <c r="B468" i="2" s="1"/>
  <c r="B467" i="2" a="1"/>
  <c r="B467" i="2" s="1"/>
  <c r="B466" i="2" a="1"/>
  <c r="B466" i="2" s="1"/>
  <c r="B465" i="2" a="1"/>
  <c r="B465" i="2" s="1"/>
  <c r="B464" i="2" a="1"/>
  <c r="B464" i="2" s="1"/>
  <c r="B463" i="2" a="1"/>
  <c r="B463" i="2" s="1"/>
  <c r="B462" i="2" a="1"/>
  <c r="B462" i="2" s="1"/>
  <c r="B461" i="2" a="1"/>
  <c r="B461" i="2" s="1"/>
  <c r="B460" i="2" a="1"/>
  <c r="B460" i="2" s="1"/>
  <c r="B459" i="2" a="1"/>
  <c r="B459" i="2" s="1"/>
  <c r="B458" i="2" a="1"/>
  <c r="B458" i="2" s="1"/>
  <c r="B457" i="2" a="1"/>
  <c r="B457" i="2"/>
  <c r="B456" i="2" a="1"/>
  <c r="B456" i="2" s="1"/>
  <c r="B455" i="2" a="1"/>
  <c r="B455" i="2" s="1"/>
  <c r="B454" i="2" a="1"/>
  <c r="B454" i="2" s="1"/>
  <c r="B453" i="2" a="1"/>
  <c r="B453" i="2" s="1"/>
  <c r="B452" i="2" a="1"/>
  <c r="B452" i="2" s="1"/>
  <c r="B451" i="2" a="1"/>
  <c r="B451" i="2" s="1"/>
  <c r="B450" i="2" a="1"/>
  <c r="B450" i="2" s="1"/>
  <c r="B449" i="2" a="1"/>
  <c r="B449" i="2" s="1"/>
  <c r="B448" i="2" a="1"/>
  <c r="B448" i="2" s="1"/>
  <c r="B447" i="2" a="1"/>
  <c r="B447" i="2"/>
  <c r="B446" i="2" a="1"/>
  <c r="B446" i="2" s="1"/>
  <c r="B445" i="2" a="1"/>
  <c r="B445" i="2" s="1"/>
  <c r="B444" i="2" a="1"/>
  <c r="B444" i="2" s="1"/>
  <c r="B443" i="2" a="1"/>
  <c r="B443" i="2" s="1"/>
  <c r="B442" i="2" a="1"/>
  <c r="B442" i="2" s="1"/>
  <c r="B441" i="2" a="1"/>
  <c r="B441" i="2" s="1"/>
  <c r="B440" i="2" a="1"/>
  <c r="B440" i="2" s="1"/>
  <c r="B439" i="2" a="1"/>
  <c r="B439" i="2" s="1"/>
  <c r="B438" i="2" a="1"/>
  <c r="B438" i="2" s="1"/>
  <c r="B437" i="2" a="1"/>
  <c r="B437" i="2" s="1"/>
  <c r="B436" i="2" a="1"/>
  <c r="B436" i="2" s="1"/>
  <c r="B435" i="2" a="1"/>
  <c r="B435" i="2" s="1"/>
  <c r="B434" i="2" a="1"/>
  <c r="B434" i="2" s="1"/>
  <c r="B433" i="2" a="1"/>
  <c r="B433" i="2"/>
  <c r="B432" i="2" a="1"/>
  <c r="B432" i="2" s="1"/>
  <c r="B431" i="2" a="1"/>
  <c r="B431" i="2" s="1"/>
  <c r="B430" i="2" a="1"/>
  <c r="B430" i="2" s="1"/>
  <c r="B429" i="2" a="1"/>
  <c r="B429" i="2" s="1"/>
  <c r="B428" i="2" a="1"/>
  <c r="B428" i="2" s="1"/>
  <c r="B427" i="2" a="1"/>
  <c r="B427" i="2" s="1"/>
  <c r="B426" i="2" a="1"/>
  <c r="B426" i="2" s="1"/>
  <c r="B425" i="2" a="1"/>
  <c r="B425" i="2" s="1"/>
  <c r="B424" i="2" a="1"/>
  <c r="B424" i="2" s="1"/>
  <c r="B423" i="2" a="1"/>
  <c r="B423" i="2" s="1"/>
  <c r="B422" i="2" a="1"/>
  <c r="B422" i="2" s="1"/>
  <c r="B421" i="2" a="1"/>
  <c r="B421" i="2" s="1"/>
  <c r="B420" i="2" a="1"/>
  <c r="B420" i="2" s="1"/>
  <c r="B419" i="2" a="1"/>
  <c r="B419" i="2" s="1"/>
  <c r="B418" i="2" a="1"/>
  <c r="B418" i="2" s="1"/>
  <c r="B417" i="2" a="1"/>
  <c r="B417" i="2" s="1"/>
  <c r="B416" i="2" a="1"/>
  <c r="B416" i="2" s="1"/>
  <c r="B415" i="2" a="1"/>
  <c r="B415" i="2" s="1"/>
  <c r="B414" i="2" a="1"/>
  <c r="B414" i="2" s="1"/>
  <c r="B413" i="2" a="1"/>
  <c r="B413" i="2" s="1"/>
  <c r="B412" i="2" a="1"/>
  <c r="B412" i="2"/>
  <c r="B411" i="2" a="1"/>
  <c r="B411" i="2" s="1"/>
  <c r="B410" i="2" a="1"/>
  <c r="B410" i="2" s="1"/>
  <c r="B409" i="2" a="1"/>
  <c r="B409" i="2" s="1"/>
  <c r="B408" i="2" a="1"/>
  <c r="B408" i="2" s="1"/>
  <c r="B407" i="2" a="1"/>
  <c r="B407" i="2"/>
  <c r="B406" i="2" a="1"/>
  <c r="B406" i="2" s="1"/>
  <c r="B405" i="2" a="1"/>
  <c r="B405" i="2" s="1"/>
  <c r="B404" i="2" a="1"/>
  <c r="B404" i="2" s="1"/>
  <c r="B403" i="2" a="1"/>
  <c r="B403" i="2" s="1"/>
  <c r="B402" i="2" a="1"/>
  <c r="B402" i="2" s="1"/>
  <c r="B401" i="2" a="1"/>
  <c r="B401" i="2" s="1"/>
  <c r="B400" i="2" a="1"/>
  <c r="B400" i="2" s="1"/>
  <c r="B399" i="2" a="1"/>
  <c r="B399" i="2"/>
  <c r="B398" i="2" a="1"/>
  <c r="B398" i="2" s="1"/>
  <c r="B397" i="2" a="1"/>
  <c r="B397" i="2" s="1"/>
  <c r="B396" i="2" a="1"/>
  <c r="B396" i="2" s="1"/>
  <c r="B395" i="2" a="1"/>
  <c r="B395" i="2" s="1"/>
  <c r="B394" i="2" a="1"/>
  <c r="B394" i="2" s="1"/>
  <c r="B393" i="2" a="1"/>
  <c r="B393" i="2"/>
  <c r="B392" i="2" a="1"/>
  <c r="B392" i="2" s="1"/>
  <c r="B391" i="2" a="1"/>
  <c r="B391" i="2" s="1"/>
  <c r="B390" i="2" a="1"/>
  <c r="B390" i="2" s="1"/>
  <c r="B389" i="2" a="1"/>
  <c r="B389" i="2" s="1"/>
  <c r="B388" i="2" a="1"/>
  <c r="B388" i="2" s="1"/>
  <c r="B387" i="2" a="1"/>
  <c r="B387" i="2" s="1"/>
  <c r="B386" i="2" a="1"/>
  <c r="B386" i="2" s="1"/>
  <c r="B385" i="2" a="1"/>
  <c r="B385" i="2" s="1"/>
  <c r="B384" i="2" a="1"/>
  <c r="B384" i="2"/>
  <c r="B383" i="2" a="1"/>
  <c r="B383" i="2"/>
  <c r="B382" i="2" a="1"/>
  <c r="B382" i="2" s="1"/>
  <c r="B381" i="2" a="1"/>
  <c r="B381" i="2" s="1"/>
  <c r="B380" i="2" a="1"/>
  <c r="B380" i="2" s="1"/>
  <c r="B379" i="2" a="1"/>
  <c r="B379" i="2" s="1"/>
  <c r="B378" i="2" a="1"/>
  <c r="B378" i="2" s="1"/>
  <c r="B377" i="2" a="1"/>
  <c r="B377" i="2" s="1"/>
  <c r="B376" i="2" a="1"/>
  <c r="B376" i="2"/>
  <c r="B375" i="2" a="1"/>
  <c r="B375" i="2" s="1"/>
  <c r="B374" i="2" a="1"/>
  <c r="B374" i="2" s="1"/>
  <c r="B373" i="2" a="1"/>
  <c r="B373" i="2" s="1"/>
  <c r="B372" i="2" a="1"/>
  <c r="B372" i="2" s="1"/>
  <c r="B371" i="2" a="1"/>
  <c r="B371" i="2"/>
  <c r="B370" i="2" a="1"/>
  <c r="B370" i="2" s="1"/>
  <c r="B369" i="2" a="1"/>
  <c r="B369" i="2" s="1"/>
  <c r="B368" i="2" a="1"/>
  <c r="B368" i="2" s="1"/>
  <c r="B367" i="2" a="1"/>
  <c r="B367" i="2" s="1"/>
  <c r="B366" i="2" a="1"/>
  <c r="B366" i="2" s="1"/>
  <c r="B365" i="2" a="1"/>
  <c r="B365" i="2" s="1"/>
  <c r="B364" i="2" a="1"/>
  <c r="B364" i="2" s="1"/>
  <c r="B363" i="2" a="1"/>
  <c r="B363" i="2" s="1"/>
  <c r="B362" i="2" a="1"/>
  <c r="B362" i="2" s="1"/>
  <c r="B361" i="2" a="1"/>
  <c r="B361" i="2" s="1"/>
  <c r="B360" i="2" a="1"/>
  <c r="B360" i="2" s="1"/>
  <c r="B359" i="2" a="1"/>
  <c r="B359" i="2" s="1"/>
  <c r="B358" i="2" a="1"/>
  <c r="B358" i="2" s="1"/>
  <c r="B357" i="2" a="1"/>
  <c r="B357" i="2" s="1"/>
  <c r="B356" i="2" a="1"/>
  <c r="B356" i="2" s="1"/>
  <c r="B355" i="2" a="1"/>
  <c r="B355" i="2" s="1"/>
  <c r="B354" i="2" a="1"/>
  <c r="B354" i="2" s="1"/>
  <c r="B353" i="2" a="1"/>
  <c r="B353" i="2" s="1"/>
  <c r="B352" i="2" a="1"/>
  <c r="B352" i="2" s="1"/>
  <c r="B351" i="2" a="1"/>
  <c r="B351" i="2"/>
  <c r="B350" i="2" a="1"/>
  <c r="B350" i="2" s="1"/>
  <c r="B349" i="2" a="1"/>
  <c r="B349" i="2" s="1"/>
  <c r="B348" i="2" a="1"/>
  <c r="B348" i="2" s="1"/>
  <c r="B347" i="2" a="1"/>
  <c r="B347" i="2" s="1"/>
  <c r="B346" i="2" a="1"/>
  <c r="B346" i="2" s="1"/>
  <c r="B345" i="2" a="1"/>
  <c r="B345" i="2" s="1"/>
  <c r="B344" i="2" a="1"/>
  <c r="B344" i="2"/>
  <c r="B343" i="2" a="1"/>
  <c r="B343" i="2" s="1"/>
  <c r="B342" i="2" a="1"/>
  <c r="B342" i="2" s="1"/>
  <c r="B341" i="2" a="1"/>
  <c r="B341" i="2" s="1"/>
  <c r="B340" i="2" a="1"/>
  <c r="B340" i="2" s="1"/>
  <c r="B339" i="2" a="1"/>
  <c r="B339" i="2" s="1"/>
  <c r="B338" i="2" a="1"/>
  <c r="B338" i="2" s="1"/>
  <c r="B337" i="2" a="1"/>
  <c r="B337" i="2" s="1"/>
  <c r="B336" i="2" a="1"/>
  <c r="B336" i="2" s="1"/>
  <c r="B335" i="2" a="1"/>
  <c r="B335" i="2" s="1"/>
  <c r="B334" i="2" a="1"/>
  <c r="B334" i="2" s="1"/>
  <c r="B333" i="2" a="1"/>
  <c r="B333" i="2" s="1"/>
  <c r="B332" i="2" a="1"/>
  <c r="B332" i="2" s="1"/>
  <c r="B331" i="2" a="1"/>
  <c r="B331" i="2" s="1"/>
  <c r="B330" i="2" a="1"/>
  <c r="B330" i="2" s="1"/>
  <c r="B329" i="2" a="1"/>
  <c r="B329" i="2" s="1"/>
  <c r="B328" i="2" a="1"/>
  <c r="B328" i="2" s="1"/>
  <c r="B327" i="2" a="1"/>
  <c r="B327" i="2" s="1"/>
  <c r="B326" i="2" a="1"/>
  <c r="B326" i="2" s="1"/>
  <c r="B325" i="2" a="1"/>
  <c r="B325" i="2" s="1"/>
  <c r="B324" i="2" a="1"/>
  <c r="B324" i="2" s="1"/>
  <c r="B323" i="2" a="1"/>
  <c r="B323" i="2" s="1"/>
  <c r="B322" i="2" a="1"/>
  <c r="B322" i="2" s="1"/>
  <c r="B321" i="2" a="1"/>
  <c r="B321" i="2"/>
  <c r="B320" i="2" a="1"/>
  <c r="B320" i="2" s="1"/>
  <c r="B319" i="2" a="1"/>
  <c r="B319" i="2" s="1"/>
  <c r="B318" i="2" a="1"/>
  <c r="B318" i="2" s="1"/>
  <c r="B317" i="2" a="1"/>
  <c r="B317" i="2" s="1"/>
  <c r="B316" i="2" a="1"/>
  <c r="B316" i="2" s="1"/>
  <c r="B315" i="2" a="1"/>
  <c r="B315" i="2" s="1"/>
  <c r="B314" i="2" a="1"/>
  <c r="B314" i="2" s="1"/>
  <c r="B313" i="2" a="1"/>
  <c r="B313" i="2" s="1"/>
  <c r="B312" i="2" a="1"/>
  <c r="B312" i="2" s="1"/>
  <c r="B311" i="2" a="1"/>
  <c r="B311" i="2" s="1"/>
  <c r="B310" i="2" a="1"/>
  <c r="B310" i="2" s="1"/>
  <c r="B309" i="2" a="1"/>
  <c r="B309" i="2" s="1"/>
  <c r="B308" i="2" a="1"/>
  <c r="B308" i="2" s="1"/>
  <c r="B307" i="2" a="1"/>
  <c r="B307" i="2"/>
  <c r="B306" i="2" a="1"/>
  <c r="B306" i="2" s="1"/>
  <c r="B305" i="2" a="1"/>
  <c r="B305" i="2"/>
  <c r="B304" i="2" a="1"/>
  <c r="B304" i="2" s="1"/>
  <c r="B303" i="2" a="1"/>
  <c r="B303" i="2" s="1"/>
  <c r="B302" i="2" a="1"/>
  <c r="B302" i="2" s="1"/>
  <c r="B301" i="2" a="1"/>
  <c r="B301" i="2" s="1"/>
  <c r="B300" i="2" a="1"/>
  <c r="B300" i="2" s="1"/>
  <c r="B299" i="2" a="1"/>
  <c r="B299" i="2" s="1"/>
  <c r="B298" i="2" a="1"/>
  <c r="B298" i="2" s="1"/>
  <c r="B297" i="2" a="1"/>
  <c r="B297" i="2" s="1"/>
  <c r="B296" i="2" a="1"/>
  <c r="B296" i="2" s="1"/>
  <c r="B295" i="2" a="1"/>
  <c r="B295" i="2" s="1"/>
  <c r="B294" i="2" a="1"/>
  <c r="B294" i="2" s="1"/>
  <c r="B293" i="2" a="1"/>
  <c r="B293" i="2" s="1"/>
  <c r="B292" i="2" a="1"/>
  <c r="B292" i="2" s="1"/>
  <c r="B291" i="2" a="1"/>
  <c r="B291" i="2" s="1"/>
  <c r="B290" i="2" a="1"/>
  <c r="B290" i="2" s="1"/>
  <c r="B289" i="2" a="1"/>
  <c r="B289" i="2" s="1"/>
  <c r="B288" i="2" a="1"/>
  <c r="B288" i="2"/>
  <c r="B287" i="2" a="1"/>
  <c r="B287" i="2" s="1"/>
  <c r="B286" i="2" a="1"/>
  <c r="B286" i="2" s="1"/>
  <c r="B285" i="2" a="1"/>
  <c r="B285" i="2" s="1"/>
  <c r="B284" i="2" a="1"/>
  <c r="B284" i="2" s="1"/>
  <c r="B283" i="2" a="1"/>
  <c r="B283" i="2" s="1"/>
  <c r="B282" i="2" a="1"/>
  <c r="B282" i="2" s="1"/>
  <c r="B281" i="2" a="1"/>
  <c r="B281" i="2" s="1"/>
  <c r="B280" i="2" a="1"/>
  <c r="B280" i="2" s="1"/>
  <c r="B279" i="2" a="1"/>
  <c r="B279" i="2" s="1"/>
  <c r="B278" i="2" a="1"/>
  <c r="B278" i="2" s="1"/>
  <c r="B277" i="2" a="1"/>
  <c r="B277" i="2" s="1"/>
  <c r="B276" i="2" a="1"/>
  <c r="B276" i="2" s="1"/>
  <c r="B275" i="2" a="1"/>
  <c r="B275" i="2" s="1"/>
  <c r="B274" i="2" a="1"/>
  <c r="B274" i="2" s="1"/>
  <c r="B273" i="2" a="1"/>
  <c r="B273" i="2" s="1"/>
  <c r="B272" i="2" a="1"/>
  <c r="B272" i="2" s="1"/>
  <c r="B271" i="2" a="1"/>
  <c r="B271" i="2" s="1"/>
  <c r="B270" i="2" a="1"/>
  <c r="B270" i="2" s="1"/>
  <c r="B269" i="2" a="1"/>
  <c r="B269" i="2" s="1"/>
  <c r="B268" i="2" a="1"/>
  <c r="B268" i="2" s="1"/>
  <c r="B267" i="2" a="1"/>
  <c r="B267" i="2" s="1"/>
  <c r="B266" i="2" a="1"/>
  <c r="B266" i="2" s="1"/>
  <c r="B265" i="2" a="1"/>
  <c r="B265" i="2" s="1"/>
  <c r="B264" i="2" a="1"/>
  <c r="B264" i="2" s="1"/>
  <c r="B263" i="2" a="1"/>
  <c r="B263" i="2" s="1"/>
  <c r="B262" i="2" a="1"/>
  <c r="B262" i="2" s="1"/>
  <c r="B261" i="2" a="1"/>
  <c r="B261" i="2" s="1"/>
  <c r="B260" i="2" a="1"/>
  <c r="B260" i="2" s="1"/>
  <c r="B259" i="2" a="1"/>
  <c r="B259" i="2" s="1"/>
  <c r="B258" i="2" a="1"/>
  <c r="B258" i="2" s="1"/>
  <c r="B257" i="2" a="1"/>
  <c r="B257" i="2" s="1"/>
  <c r="B256" i="2" a="1"/>
  <c r="B256" i="2" s="1"/>
  <c r="B255" i="2" a="1"/>
  <c r="B255" i="2"/>
  <c r="B254" i="2" a="1"/>
  <c r="B254" i="2" s="1"/>
  <c r="B253" i="2" a="1"/>
  <c r="B253" i="2" s="1"/>
  <c r="B252" i="2" a="1"/>
  <c r="B252" i="2" s="1"/>
  <c r="B251" i="2" a="1"/>
  <c r="B251" i="2" s="1"/>
  <c r="B250" i="2" a="1"/>
  <c r="B250" i="2" s="1"/>
  <c r="B249" i="2" a="1"/>
  <c r="B249" i="2" s="1"/>
  <c r="B248" i="2" a="1"/>
  <c r="B248" i="2" s="1"/>
  <c r="B247" i="2" a="1"/>
  <c r="B247" i="2" s="1"/>
  <c r="B246" i="2" a="1"/>
  <c r="B246" i="2" s="1"/>
  <c r="B245" i="2" a="1"/>
  <c r="B245" i="2" s="1"/>
  <c r="B244" i="2" a="1"/>
  <c r="B244" i="2"/>
  <c r="B243" i="2" a="1"/>
  <c r="B243" i="2" s="1"/>
  <c r="B242" i="2" a="1"/>
  <c r="B242" i="2" s="1"/>
  <c r="B241" i="2" a="1"/>
  <c r="B241" i="2" s="1"/>
  <c r="B240" i="2" a="1"/>
  <c r="B240" i="2" s="1"/>
  <c r="B239" i="2" a="1"/>
  <c r="B239" i="2"/>
  <c r="B238" i="2" a="1"/>
  <c r="B238" i="2"/>
  <c r="B237" i="2" a="1"/>
  <c r="B237" i="2" s="1"/>
  <c r="B236" i="2" a="1"/>
  <c r="B236" i="2" s="1"/>
  <c r="B235" i="2" a="1"/>
  <c r="B235" i="2" s="1"/>
  <c r="B234" i="2" a="1"/>
  <c r="B234" i="2" s="1"/>
  <c r="B233" i="2" a="1"/>
  <c r="B233" i="2" s="1"/>
  <c r="B232" i="2" a="1"/>
  <c r="B232" i="2"/>
  <c r="B231" i="2" a="1"/>
  <c r="B231" i="2"/>
  <c r="B230" i="2" a="1"/>
  <c r="B230" i="2" s="1"/>
  <c r="B229" i="2" a="1"/>
  <c r="B229" i="2" s="1"/>
  <c r="B228" i="2" a="1"/>
  <c r="B228" i="2"/>
  <c r="B227" i="2" a="1"/>
  <c r="B227" i="2" s="1"/>
  <c r="B226" i="2" a="1"/>
  <c r="B226" i="2"/>
  <c r="B225" i="2" a="1"/>
  <c r="B225" i="2" s="1"/>
  <c r="B224" i="2" a="1"/>
  <c r="B224" i="2"/>
  <c r="B223" i="2" a="1"/>
  <c r="B223" i="2" s="1"/>
  <c r="B222" i="2" a="1"/>
  <c r="B222" i="2" s="1"/>
  <c r="B221" i="2" a="1"/>
  <c r="B221" i="2" s="1"/>
  <c r="B220" i="2" a="1"/>
  <c r="B220" i="2"/>
  <c r="B219" i="2" a="1"/>
  <c r="B219" i="2" s="1"/>
  <c r="B218" i="2" a="1"/>
  <c r="B218" i="2"/>
  <c r="B217" i="2" a="1"/>
  <c r="B217" i="2" s="1"/>
  <c r="B216" i="2" a="1"/>
  <c r="B216" i="2" s="1"/>
  <c r="B215" i="2" a="1"/>
  <c r="B215" i="2" s="1"/>
  <c r="B214" i="2" a="1"/>
  <c r="B214" i="2" s="1"/>
  <c r="B213" i="2" a="1"/>
  <c r="B213" i="2" s="1"/>
  <c r="B212" i="2" a="1"/>
  <c r="B212" i="2" s="1"/>
  <c r="B211" i="2" a="1"/>
  <c r="B211" i="2" s="1"/>
  <c r="B210" i="2" a="1"/>
  <c r="B210" i="2" s="1"/>
  <c r="B209" i="2" a="1"/>
  <c r="B209" i="2" s="1"/>
  <c r="B208" i="2" a="1"/>
  <c r="B208" i="2" s="1"/>
  <c r="B207" i="2" a="1"/>
  <c r="B207" i="2" s="1"/>
  <c r="B206" i="2" a="1"/>
  <c r="B206" i="2" s="1"/>
  <c r="B205" i="2" a="1"/>
  <c r="B205" i="2" s="1"/>
  <c r="B204" i="2" a="1"/>
  <c r="B204" i="2" s="1"/>
  <c r="B203" i="2" a="1"/>
  <c r="B203" i="2" s="1"/>
  <c r="B202" i="2" a="1"/>
  <c r="B202" i="2" s="1"/>
  <c r="B201" i="2" a="1"/>
  <c r="B201" i="2" s="1"/>
  <c r="B200" i="2" a="1"/>
  <c r="B200" i="2"/>
  <c r="B199" i="2" a="1"/>
  <c r="B199" i="2" s="1"/>
  <c r="B198" i="2" a="1"/>
  <c r="B198" i="2" s="1"/>
  <c r="B197" i="2" a="1"/>
  <c r="B197" i="2" s="1"/>
  <c r="B196" i="2" a="1"/>
  <c r="B196" i="2" s="1"/>
  <c r="B195" i="2" a="1"/>
  <c r="B195" i="2" s="1"/>
  <c r="B194" i="2" a="1"/>
  <c r="B194" i="2"/>
  <c r="B193" i="2" a="1"/>
  <c r="B193" i="2" s="1"/>
  <c r="B192" i="2" a="1"/>
  <c r="B192" i="2" s="1"/>
  <c r="B191" i="2" a="1"/>
  <c r="B191" i="2" s="1"/>
  <c r="B190" i="2" a="1"/>
  <c r="B190" i="2"/>
  <c r="B189" i="2" a="1"/>
  <c r="B189" i="2" s="1"/>
  <c r="B188" i="2" a="1"/>
  <c r="B188" i="2" s="1"/>
  <c r="B187" i="2" a="1"/>
  <c r="B187" i="2" s="1"/>
  <c r="B186" i="2" a="1"/>
  <c r="B186" i="2" s="1"/>
  <c r="B185" i="2" a="1"/>
  <c r="B185" i="2" s="1"/>
  <c r="B184" i="2" a="1"/>
  <c r="B184" i="2" s="1"/>
  <c r="B183" i="2" a="1"/>
  <c r="B183" i="2" s="1"/>
  <c r="B182" i="2" a="1"/>
  <c r="B182" i="2"/>
  <c r="B181" i="2" a="1"/>
  <c r="B181" i="2" s="1"/>
  <c r="B180" i="2" a="1"/>
  <c r="B180" i="2" s="1"/>
  <c r="B179" i="2" a="1"/>
  <c r="B179" i="2" s="1"/>
  <c r="B178" i="2" a="1"/>
  <c r="B178" i="2" s="1"/>
  <c r="B177" i="2" a="1"/>
  <c r="B177" i="2" s="1"/>
  <c r="B176" i="2" a="1"/>
  <c r="B176" i="2" s="1"/>
  <c r="B175" i="2" a="1"/>
  <c r="B175" i="2" s="1"/>
  <c r="B174" i="2" a="1"/>
  <c r="B174" i="2" s="1"/>
  <c r="B173" i="2" a="1"/>
  <c r="B173" i="2" s="1"/>
  <c r="B172" i="2" a="1"/>
  <c r="B172" i="2" s="1"/>
  <c r="B171" i="2" a="1"/>
  <c r="B171" i="2" s="1"/>
  <c r="B170" i="2" a="1"/>
  <c r="B170" i="2" s="1"/>
  <c r="B169" i="2" a="1"/>
  <c r="B169" i="2" s="1"/>
  <c r="B168" i="2" a="1"/>
  <c r="B168" i="2" s="1"/>
  <c r="B167" i="2" a="1"/>
  <c r="B167" i="2" s="1"/>
  <c r="B166" i="2" a="1"/>
  <c r="B166" i="2" s="1"/>
  <c r="B165" i="2" a="1"/>
  <c r="B165" i="2" s="1"/>
  <c r="B164" i="2" a="1"/>
  <c r="B164" i="2" s="1"/>
  <c r="B163" i="2" a="1"/>
  <c r="B163" i="2"/>
  <c r="B162" i="2" a="1"/>
  <c r="B162" i="2" s="1"/>
  <c r="B161" i="2" a="1"/>
  <c r="B161" i="2" s="1"/>
  <c r="B160" i="2" a="1"/>
  <c r="B160" i="2" s="1"/>
  <c r="B159" i="2" a="1"/>
  <c r="B159" i="2" s="1"/>
  <c r="B158" i="2" a="1"/>
  <c r="B158" i="2"/>
  <c r="B157" i="2" a="1"/>
  <c r="B157" i="2" s="1"/>
  <c r="B156" i="2" a="1"/>
  <c r="B156" i="2" s="1"/>
  <c r="B155" i="2" a="1"/>
  <c r="B155" i="2"/>
  <c r="B154" i="2" a="1"/>
  <c r="B154" i="2" s="1"/>
  <c r="B153" i="2" a="1"/>
  <c r="B153" i="2" s="1"/>
  <c r="B152" i="2" a="1"/>
  <c r="B152" i="2" s="1"/>
  <c r="B151" i="2" a="1"/>
  <c r="B151" i="2"/>
  <c r="B150" i="2" a="1"/>
  <c r="B150" i="2" s="1"/>
  <c r="B149" i="2" a="1"/>
  <c r="B149" i="2" s="1"/>
  <c r="B148" i="2" a="1"/>
  <c r="B148" i="2" s="1"/>
  <c r="B147" i="2" a="1"/>
  <c r="B147" i="2" s="1"/>
  <c r="B146" i="2" a="1"/>
  <c r="B146" i="2"/>
  <c r="B145" i="2" a="1"/>
  <c r="B145" i="2" s="1"/>
  <c r="B144" i="2" a="1"/>
  <c r="B144" i="2" s="1"/>
  <c r="B143" i="2" a="1"/>
  <c r="B143" i="2" s="1"/>
  <c r="B142" i="2" a="1"/>
  <c r="B142" i="2" s="1"/>
  <c r="B141" i="2" a="1"/>
  <c r="B141" i="2" s="1"/>
  <c r="B140" i="2" a="1"/>
  <c r="B140" i="2" s="1"/>
  <c r="B139" i="2" a="1"/>
  <c r="B139" i="2"/>
  <c r="B138" i="2" a="1"/>
  <c r="B138" i="2" s="1"/>
  <c r="B137" i="2" a="1"/>
  <c r="B137" i="2" s="1"/>
  <c r="B136" i="2" a="1"/>
  <c r="B136" i="2" s="1"/>
  <c r="B135" i="2" a="1"/>
  <c r="B135" i="2" s="1"/>
  <c r="B134" i="2" a="1"/>
  <c r="B134" i="2"/>
  <c r="B133" i="2" a="1"/>
  <c r="B133" i="2" s="1"/>
  <c r="B132" i="2" a="1"/>
  <c r="B132" i="2" s="1"/>
  <c r="B131" i="2" a="1"/>
  <c r="B131" i="2" s="1"/>
  <c r="B130" i="2" a="1"/>
  <c r="B130" i="2" s="1"/>
  <c r="B129" i="2" a="1"/>
  <c r="B129" i="2" s="1"/>
  <c r="B128" i="2" a="1"/>
  <c r="B128" i="2" s="1"/>
  <c r="B127" i="2" a="1"/>
  <c r="B127" i="2" s="1"/>
  <c r="B126" i="2" a="1"/>
  <c r="B126" i="2"/>
  <c r="B125" i="2" a="1"/>
  <c r="B125" i="2" s="1"/>
  <c r="B124" i="2" a="1"/>
  <c r="B124" i="2" s="1"/>
  <c r="B123" i="2" a="1"/>
  <c r="B123" i="2"/>
  <c r="B122" i="2" a="1"/>
  <c r="B122" i="2" s="1"/>
  <c r="B121" i="2" a="1"/>
  <c r="B121" i="2" s="1"/>
  <c r="B120" i="2" a="1"/>
  <c r="B120" i="2" s="1"/>
  <c r="B119" i="2" a="1"/>
  <c r="B119" i="2" s="1"/>
  <c r="B118" i="2" a="1"/>
  <c r="B118" i="2" s="1"/>
  <c r="B117" i="2" a="1"/>
  <c r="B117" i="2" s="1"/>
  <c r="B116" i="2" a="1"/>
  <c r="B116" i="2" s="1"/>
  <c r="B115" i="2" a="1"/>
  <c r="B115" i="2" s="1"/>
  <c r="B114" i="2" a="1"/>
  <c r="B114" i="2" s="1"/>
  <c r="B113" i="2" a="1"/>
  <c r="B113" i="2" s="1"/>
  <c r="B112" i="2" a="1"/>
  <c r="B112" i="2" s="1"/>
  <c r="B111" i="2" a="1"/>
  <c r="B111" i="2" s="1"/>
  <c r="B110" i="2" a="1"/>
  <c r="B110" i="2"/>
  <c r="B109" i="2" a="1"/>
  <c r="B109" i="2" s="1"/>
  <c r="B108" i="2" a="1"/>
  <c r="B108" i="2" s="1"/>
  <c r="B107" i="2" a="1"/>
  <c r="B107" i="2" s="1"/>
  <c r="B106" i="2" a="1"/>
  <c r="B106" i="2" s="1"/>
  <c r="B105" i="2" a="1"/>
  <c r="B105" i="2" s="1"/>
  <c r="B104" i="2" a="1"/>
  <c r="B104" i="2" s="1"/>
  <c r="B103" i="2" a="1"/>
  <c r="B103" i="2" s="1"/>
  <c r="B102" i="2" a="1"/>
  <c r="B102" i="2" s="1"/>
  <c r="B101" i="2" a="1"/>
  <c r="B101" i="2" s="1"/>
  <c r="B100" i="2" a="1"/>
  <c r="B100" i="2" s="1"/>
  <c r="B99" i="2" a="1"/>
  <c r="B99" i="2"/>
  <c r="B98" i="2" a="1"/>
  <c r="B98" i="2" s="1"/>
  <c r="B97" i="2" a="1"/>
  <c r="B97" i="2" s="1"/>
  <c r="B96" i="2" a="1"/>
  <c r="B96" i="2" s="1"/>
  <c r="B95" i="2" a="1"/>
  <c r="B95" i="2" s="1"/>
  <c r="B94" i="2" a="1"/>
  <c r="B94" i="2"/>
  <c r="B93" i="2" a="1"/>
  <c r="B93" i="2" s="1"/>
  <c r="B92" i="2" a="1"/>
  <c r="B92" i="2" s="1"/>
  <c r="B91" i="2" a="1"/>
  <c r="B91" i="2"/>
  <c r="B90" i="2" a="1"/>
  <c r="B90" i="2" s="1"/>
  <c r="B89" i="2" a="1"/>
  <c r="B89" i="2" s="1"/>
  <c r="B88" i="2" a="1"/>
  <c r="B88" i="2" s="1"/>
  <c r="B87" i="2" a="1"/>
  <c r="B87" i="2"/>
  <c r="B86" i="2" a="1"/>
  <c r="B86" i="2" s="1"/>
  <c r="B85" i="2" a="1"/>
  <c r="B85" i="2" s="1"/>
  <c r="B84" i="2" a="1"/>
  <c r="B84" i="2" s="1"/>
  <c r="B83" i="2" a="1"/>
  <c r="B83" i="2" s="1"/>
  <c r="B82" i="2" a="1"/>
  <c r="B82" i="2"/>
  <c r="B81" i="2" a="1"/>
  <c r="B81" i="2" s="1"/>
  <c r="B80" i="2" a="1"/>
  <c r="B80" i="2" s="1"/>
  <c r="B79" i="2" a="1"/>
  <c r="B79" i="2" s="1"/>
  <c r="B78" i="2" a="1"/>
  <c r="B78" i="2" s="1"/>
  <c r="B77" i="2" a="1"/>
  <c r="B77" i="2" s="1"/>
  <c r="B76" i="2" a="1"/>
  <c r="B76" i="2" s="1"/>
  <c r="B75" i="2" a="1"/>
  <c r="B75" i="2"/>
  <c r="B74" i="2" a="1"/>
  <c r="B74" i="2" s="1"/>
  <c r="B73" i="2" a="1"/>
  <c r="B73" i="2" s="1"/>
  <c r="B72" i="2" a="1"/>
  <c r="B72" i="2" s="1"/>
  <c r="B71" i="2" a="1"/>
  <c r="B71" i="2" s="1"/>
  <c r="B70" i="2" a="1"/>
  <c r="B70" i="2"/>
  <c r="B69" i="2" a="1"/>
  <c r="B69" i="2" s="1"/>
  <c r="B68" i="2" a="1"/>
  <c r="B68" i="2" s="1"/>
  <c r="B67" i="2" a="1"/>
  <c r="B67" i="2" s="1"/>
  <c r="B66" i="2" a="1"/>
  <c r="B66" i="2" s="1"/>
  <c r="B65" i="2" a="1"/>
  <c r="B65" i="2" s="1"/>
  <c r="B64" i="2" a="1"/>
  <c r="B64" i="2" s="1"/>
  <c r="B63" i="2" a="1"/>
  <c r="B63" i="2" s="1"/>
  <c r="B62" i="2" a="1"/>
  <c r="B62" i="2"/>
  <c r="B61" i="2" a="1"/>
  <c r="B61" i="2" s="1"/>
  <c r="B60" i="2" a="1"/>
  <c r="B60" i="2" s="1"/>
  <c r="B59" i="2" a="1"/>
  <c r="B59" i="2"/>
  <c r="B58" i="2" a="1"/>
  <c r="B58" i="2" s="1"/>
  <c r="B57" i="2" a="1"/>
  <c r="B57" i="2" s="1"/>
  <c r="B56" i="2" a="1"/>
  <c r="B56" i="2" s="1"/>
  <c r="B55" i="2" a="1"/>
  <c r="B55" i="2" s="1"/>
  <c r="B54" i="2" a="1"/>
  <c r="B54" i="2" s="1"/>
  <c r="B53" i="2" a="1"/>
  <c r="B53" i="2" s="1"/>
  <c r="B52" i="2" a="1"/>
  <c r="B52" i="2" s="1"/>
  <c r="B51" i="2" a="1"/>
  <c r="B51" i="2" s="1"/>
  <c r="B50" i="2" a="1"/>
  <c r="B50" i="2" s="1"/>
  <c r="B49" i="2" a="1"/>
  <c r="B49" i="2" s="1"/>
  <c r="B48" i="2" a="1"/>
  <c r="B48" i="2" s="1"/>
  <c r="B47" i="2" a="1"/>
  <c r="B47" i="2" s="1"/>
  <c r="B46" i="2" a="1"/>
  <c r="B46" i="2"/>
  <c r="B45" i="2" a="1"/>
  <c r="B45" i="2" s="1"/>
  <c r="B44" i="2" a="1"/>
  <c r="B44" i="2" s="1"/>
  <c r="B43" i="2" a="1"/>
  <c r="B43" i="2" s="1"/>
  <c r="B42" i="2" a="1"/>
  <c r="B42" i="2" s="1"/>
  <c r="B41" i="2" a="1"/>
  <c r="B41" i="2" s="1"/>
  <c r="B40" i="2" a="1"/>
  <c r="B40" i="2" s="1"/>
  <c r="B39" i="2" a="1"/>
  <c r="B39" i="2" s="1"/>
  <c r="B38" i="2" a="1"/>
  <c r="B38" i="2" s="1"/>
  <c r="B37" i="2" a="1"/>
  <c r="B37" i="2" s="1"/>
  <c r="B36" i="2" a="1"/>
  <c r="B36" i="2" s="1"/>
  <c r="B35" i="2" a="1"/>
  <c r="B35" i="2"/>
  <c r="B34" i="2" a="1"/>
  <c r="B34" i="2" s="1"/>
  <c r="B33" i="2" a="1"/>
  <c r="B33" i="2" s="1"/>
  <c r="B32" i="2" a="1"/>
  <c r="B32" i="2" s="1"/>
  <c r="B31" i="2" a="1"/>
  <c r="B31" i="2" s="1"/>
  <c r="B30" i="2" a="1"/>
  <c r="B30" i="2"/>
  <c r="B29" i="2" a="1"/>
  <c r="B29" i="2" s="1"/>
  <c r="B28" i="2" a="1"/>
  <c r="B28" i="2" s="1"/>
  <c r="B27" i="2" a="1"/>
  <c r="B27" i="2"/>
  <c r="B26" i="2" a="1"/>
  <c r="B26" i="2" s="1"/>
  <c r="B25" i="2" a="1"/>
  <c r="B25" i="2" s="1"/>
  <c r="B24" i="2" a="1"/>
  <c r="B24" i="2" s="1"/>
  <c r="B23" i="2" a="1"/>
  <c r="B23" i="2"/>
  <c r="B22" i="2" a="1"/>
  <c r="B22" i="2" s="1"/>
  <c r="B21" i="2" a="1"/>
  <c r="B21" i="2" s="1"/>
  <c r="B20" i="2" a="1"/>
  <c r="B20" i="2" s="1"/>
  <c r="B19" i="2" a="1"/>
  <c r="B19" i="2" s="1"/>
  <c r="B18" i="2" a="1"/>
  <c r="B18" i="2"/>
  <c r="B17" i="2" a="1"/>
  <c r="B17" i="2" s="1"/>
  <c r="B16" i="2" a="1"/>
  <c r="B16" i="2" s="1"/>
  <c r="B15" i="2" a="1"/>
  <c r="B15" i="2" s="1"/>
  <c r="B14" i="2" a="1"/>
  <c r="B14" i="2" s="1"/>
  <c r="B13" i="2" a="1"/>
  <c r="B13" i="2" s="1"/>
  <c r="B12" i="2" a="1"/>
  <c r="B12" i="2" s="1"/>
  <c r="B11" i="2" a="1"/>
  <c r="B11" i="2"/>
  <c r="B10" i="2" a="1"/>
  <c r="B10" i="2" s="1"/>
  <c r="B9" i="2" a="1"/>
  <c r="B9" i="2" s="1"/>
  <c r="B8" i="2" a="1"/>
  <c r="B8" i="2" s="1"/>
  <c r="B7" i="2" a="1"/>
  <c r="B7" i="2" s="1"/>
  <c r="B6" i="2" a="1"/>
  <c r="B6" i="2"/>
  <c r="B5" i="2" a="1"/>
  <c r="B5" i="2" s="1"/>
  <c r="B4" i="2" a="1"/>
  <c r="B4" i="2" s="1"/>
  <c r="B3" i="2" a="1"/>
  <c r="B3" i="2" s="1"/>
  <c r="B2" i="2" a="1"/>
  <c r="B2" i="2" s="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 r="J2" i="3" l="1"/>
  <c r="I12" i="3"/>
  <c r="J12" i="3" s="1"/>
  <c r="J11" i="3" l="1"/>
  <c r="J10" i="3"/>
  <c r="J9" i="3"/>
  <c r="J8" i="3"/>
</calcChain>
</file>

<file path=xl/sharedStrings.xml><?xml version="1.0" encoding="utf-8"?>
<sst xmlns="http://schemas.openxmlformats.org/spreadsheetml/2006/main" count="3389" uniqueCount="2281">
  <si>
    <t>video_id</t>
  </si>
  <si>
    <t>title</t>
  </si>
  <si>
    <t>published_at</t>
  </si>
  <si>
    <t>year month</t>
  </si>
  <si>
    <t>duration_seconds</t>
  </si>
  <si>
    <t>duration_minutes</t>
  </si>
  <si>
    <t>view_count</t>
  </si>
  <si>
    <t>like_count</t>
  </si>
  <si>
    <t>comment_count</t>
  </si>
  <si>
    <t>tags</t>
  </si>
  <si>
    <t>description</t>
  </si>
  <si>
    <t>comment</t>
  </si>
  <si>
    <t>pqN2k-dxRh4</t>
  </si>
  <si>
    <t>DR. TIRTA EMOSI DIFITNAH SUKA MAIN JUDOL - Di Podcast Bahlul (Sahil Dan Kamal)</t>
  </si>
  <si>
    <t>2025-08-25T10:01:17Z</t>
  </si>
  <si>
    <t>4wkMpxeO5D0</t>
  </si>
  <si>
    <t>duta tunjuk tunjukan disatukan dan isinya nada tinggi semua wkwkw</t>
  </si>
  <si>
    <t>2026-07-27T10:52:47Z</t>
  </si>
  <si>
    <t>Noice, podcast, audiobook, audioseries, radio, cerita, drama, komedi, horor, misteri, live, cinta, berita, politik, musik, agama, spiritual, hobi, lifestyle, hiburan, edukasi, inspirasi, bisnis, noice meme podcast, dr tirta, olahraga, padel, duo bahlul, jak fm, sahil mulachela, lari, noice, judi online, judol</t>
  </si>
  <si>
    <t>🔥 Dr. Tirta kepancing emosi di Podcast Duo Bahlul! 🔥
Shooting hampir berhenti di tengah jalan gara-gara obrolan makin panas.
Tapi tenang, jangan langsung tegang—di balik drama ini ada sisi lain Dr. Tirta yang jarang banget kelihatan!
Dijamin seru, kadang bikin geleng-geleng, kadang bikin mikir jug</t>
  </si>
  <si>
    <t>9suGw_FOXig</t>
  </si>
  <si>
    <t>SAKING AKTIFNYA JIRAYUT NYARIS DIIKET TAMBANG - PODCAST BAHLUL (DUO BAHLUL)</t>
  </si>
  <si>
    <t>2026-05-11T10:00:16Z</t>
  </si>
  <si>
    <t>On-fire sekali Aloy lawan Kamal disini 🤣🤣🤣</t>
  </si>
  <si>
    <t>Noice, podcast, audiobook, audioseries, radio, cerita, drama, komedi, horor, misteri, live, cinta, berita, politik, musik, agama, spiritual, hobi, lifestyle, hiburan, edukasi, inspirasi, bisnis, noise, noice meme podcast, Jirayut, sahil, kamal, pak rt, rt, dangdut academy, band academy</t>
  </si>
  <si>
    <t>2026-07-27T10:19:57Z</t>
  </si>
  <si>
    <t xml:space="preserve">Kalau ada lomba manusia paling aktif sedunia… kayaknya Jirayut udah pegang piala bergilir.
Di episode Podcast Bahlul kali ini, Jirayut bongkar cerita kenapa dirinya hampir “diiket tambang” gara-gara nggak bisa diem sama sekali! Dari duduk susah, lari ke sana-sini, sampai bikin orang sekitar pusing </t>
  </si>
  <si>
    <t>BtttEJ3Qv3g</t>
  </si>
  <si>
    <t>⁠DEMI SANIA, COWOK RELA PINDAH AGAMA?! - PODCAST BAHLUL (SAHIL DAN KAMAL)</t>
  </si>
  <si>
    <t>2025-12-22T08:57:42Z</t>
  </si>
  <si>
    <t>Noice, podcast, audiobook, audioseries, radio, cerita, drama, komedi, horor, misteri, live, cinta, berita, politik, musik, agama, spiritual, hobi, lifestyle, hiburan, edukasi, inspirasi, bisnis, noise, noice meme podcast, sania leonardo, sefreakuensi, kamal, jak101fm, jak fm</t>
  </si>
  <si>
    <t>Di episode Podcast Bahlul kali ini, iman, cinta, dan logika duduk satu meja… lalu ribut
Bayangin:
DEMI SANIA, ADA COWOK YANG RELA PINDAH AGAMA?!
Ini cinta sejati, bucin stadium akhir, atau plot sinetron kejeblos ke dunia nyata?
⚠️ Peringatan:
Episode ini bisa bikin kamu:
•⁠  ⁠Ketawa ngakak
•⁠  ⁠Em</t>
  </si>
  <si>
    <t>Duo bahlul vs aloy langsng click nonton 🔥</t>
  </si>
  <si>
    <t>IE64U39eEc0</t>
  </si>
  <si>
    <t>AIR MATA UMMI JATUH, TAKUT RAMADAN BERIKUTNYA GA BISA KETEMU NYOKAPNYA LAGI</t>
  </si>
  <si>
    <t>2026-03-09T10:00:25Z</t>
  </si>
  <si>
    <t>2026-07-27T11:04:22Z</t>
  </si>
  <si>
    <t>Noice, podcast, audiobook, audioseries, radio, cerita, drama, komedi, horor, misteri, live, cinta, berita, politik, musik, agama, spiritual, hobi, lifestyle, hiburan, edukasi, inspirasi, bisnis, noise, noice meme podcast, ummi qwary, sahil, kamal, jak101fm, ibu, bahlul</t>
  </si>
  <si>
    <t>Kalau Ramadan tahun depan… aku masih bisa ketemu Mama nggak ya?”
Kalimat itu yang bikin Ummi langsung nangis di tengah podcast.
Bukan settingan. Bukan drama. Tapi ketakutan yang mungkin juga kamu rasain… cuma nggak pernah berani kamu ucapin.
Di Podcast Bahlul Spesial Ramadan kali ini, obrolan berub</t>
  </si>
  <si>
    <t>5OEIxYXIPs0</t>
  </si>
  <si>
    <t>loy, gue tampar ya. tiap podcast yang ada lo-nya ngakak mulu gue</t>
  </si>
  <si>
    <t>PLOT TWIST! RIGEN CERITA HAMPIR JADI ORANG TUA RISPO… KOK BISA?! - PODCAST BAHLUL (DUO BAHLUL)</t>
  </si>
  <si>
    <t>2026-07-27T10:27:22Z</t>
  </si>
  <si>
    <t>2026-05-04T10:07:33Z</t>
  </si>
  <si>
    <t>Noice, podcast, audiobook, audioseries, radio, cerita, drama, komedi, horor, misteri, live, cinta, berita, politik, musik, agama, spiritual, hobi, lifestyle, hiburan, edukasi, inspirasi, bisnis, noise, noice meme podcast, rigen, plot twist, bahlul, podcast bahlul, kamal artis</t>
  </si>
  <si>
    <t>Siapa sangka obrolan santai bisa berubah jadi PLOT TWIST! 
Di episode Podcast Bahlul kali ini, Rigen tiba-tiba buka cerita yang bikin semua orang bengong… gimana ceritanya dia hampir jadi orang tua Rispo?! 
Dari yang awalnya becanda, malah jadi cerita penuh kejanggalan, salah paham, sampai momen yan</t>
  </si>
  <si>
    <t>WZFQuve1r8M</t>
  </si>
  <si>
    <t>PAK RT KAMAL KENA SEMPROT! ADU MULUT SAMA OM INDRO - PODCAST BAHLUL (DUO BAHLUL)</t>
  </si>
  <si>
    <t>2026-05-18T10:00:47Z</t>
  </si>
  <si>
    <t>Aloy ketemu kamal on-fire banget😂</t>
  </si>
  <si>
    <t>2026-07-27T11:20:01Z</t>
  </si>
  <si>
    <t>Noice, podcast, audiobook, audioseries, radio, cerita, drama, komedi, horor, misteri, live, cinta, berita, politik, musik, agama, spiritual, hobi, lifestyle, hiburan, edukasi, inspirasi, bisnis, noise, noice meme podcast, bahlul, podcast bahlul, sahil, kamal, warkop, indro</t>
  </si>
  <si>
    <t>sentiment</t>
  </si>
  <si>
    <t xml:space="preserve">RICUH BALAI WARGA DIMULAI! 
PAK RT KAMAL akhirnya kena semprot salah satu warganya yaitu Om Indro 
Di episode Podcast Bahlul kali ini, studio berubah jadi rapat warga yang gagal kondusif!
Mulai dari adu mulut nggak penting, pembelaan absurd, sampai Om Indro yang udah pengen nyerah ngadepin tingkah </t>
  </si>
  <si>
    <t>theme</t>
  </si>
  <si>
    <t>Sentimen</t>
  </si>
  <si>
    <t>Jumlah Komentar</t>
  </si>
  <si>
    <t>% unweighted (hitung biasa)</t>
  </si>
  <si>
    <t>% weighted (by likes)</t>
  </si>
  <si>
    <t>Asli lu bertiga cocok banget, udah deh bikin grup biar jadi trio terus ngonten/bikin Chanel baru 😂</t>
  </si>
  <si>
    <t>QoETkQTP8uM</t>
  </si>
  <si>
    <t>KENA BATUNYA! AKHIRNYA ABDUR MERASAKAN JADI KORBAN FITNAH - PODCAST BAHLUL</t>
  </si>
  <si>
    <t>2026-06-29T10:00:33Z</t>
  </si>
  <si>
    <t>loy jangan mati dulu ya loyyyy,,,, sehat sehat dah</t>
  </si>
  <si>
    <t>Noice, podcast, audiobook, audioseries, radio, cerita, drama, komedi, horor, misteri, live, cinta, berita, politik, musik, agama, spiritual, hobi, lifestyle, hiburan, edukasi, inspirasi, bisnis, noise, noice meme podcast, podcast bahlul, abdur, standup indo, roasting, bahlul</t>
  </si>
  <si>
    <t>FAKTA PALING MENGGUNCANG PODCAST BAHLUL AKHIRNYA TERBONGKAR! 
Kalau selama ini Abdur cuma dikenal sebagai tukang fitnah, ternyata itu belum seberapa...
Di episode kali ini, masa lalu Abdur dikuliti habis-habisan sampai muncul pengakuan yang bikin semua orang di studio melongo sekaligus ngakak.
Bena</t>
  </si>
  <si>
    <t>2026-07-27T10:38:19Z</t>
  </si>
  <si>
    <t>Ouz-mCsTuGo</t>
  </si>
  <si>
    <t>EMANG BAHLUL! KAMAL KEPANCING EMOSI DENGER CERITA FELIX SIAUW - PODCAST BAHLUL</t>
  </si>
  <si>
    <t>Positif</t>
  </si>
  <si>
    <t>2026-05-26T10:00:11Z</t>
  </si>
  <si>
    <t>Request</t>
  </si>
  <si>
    <t>Noice, podcast, audiobook, audioseries, radio, cerita, drama, komedi, horor, misteri, live, cinta, berita, politik, musik, agama, spiritual, hobi, lifestyle, hiburan, edukasi, inspirasi, bisnis, noise, noice meme podcast, felix siauw, pak RT, Kamal RT</t>
  </si>
  <si>
    <t>WARNING ⚠️
Podcast ini mengandung obrolan absurd, tawa berlebihan, dan Felix Siauw kehilangan fokus berkali-kali 
Di episode kali ini, Felix Siauw sampai dibuat mikir keras…
“Ini gue lagi dakwah… apa lagi nongkrong sama manusia-manusia error?” 
Dari obrolan serius yang belok jadi lawakan, sampai jo</t>
  </si>
  <si>
    <t>Aloy vs Duo bahlul
Gasss</t>
  </si>
  <si>
    <t>dngIje00nAQ</t>
  </si>
  <si>
    <t>KOK BISA MASUK ISLAM GARA-GARA GOFAR?</t>
  </si>
  <si>
    <t>2026-02-20T10:30:33Z</t>
  </si>
  <si>
    <t>2026-07-27T10:23:57Z</t>
  </si>
  <si>
    <t>Noice, podcast, audiobook, audioseries, radio, cerita, drama, komedi, horor, misteri, live, cinta, berita, politik, musik, agama, spiritual, hobi, lifestyle, hiburan, edukasi, inspirasi, bisnis, noise, noice meme podcast</t>
  </si>
  <si>
    <t>Siapa sangka, konten Ramadan yang sederhana justru bisa jadi jalan hidayah bagi banyak orang.
Di Podcast Bahlul Spesial Ramadan, kita ngobrol soal fenomena menarik:
bagaimana konten Ramadan Gofar berdampak besar sampai membuat banyak orang tertarik dan masuk Islam.
Episode ini penuh cerita, reflek</t>
  </si>
  <si>
    <t>JZun46NnrPI</t>
  </si>
  <si>
    <t>⁠SAHIL KAMAL KETETERAN LAWAN TEKTOKAN PANDJI PRAGIWAKSONO DAN CING ABDEL</t>
  </si>
  <si>
    <t>2026-07-06T10:00:26Z</t>
  </si>
  <si>
    <t>Aloy emang udah bakat yang ambisius konsisten disiplin  jadi ke up dia😂</t>
  </si>
  <si>
    <t>2026-07-27T11:10:38Z</t>
  </si>
  <si>
    <t>Noice, podcast, audiobook, audioseries, radio, cerita, drama, komedi, horor, misteri, live, cinta, berita, politik, musik, agama, spiritual, hobi, lifestyle, hiburan, edukasi, inspirasi, bisnis, noise, noice meme podcast, PandjiPragiwaksono, CingAbdel, SahilKamal, DuoBahlul, Kamal RT, StandUpIndo</t>
  </si>
  <si>
    <t>Warning: empat bapak-bapak dikumpulin dalam satu ruangan ternyata lebih chaos dari yang dibayangin. 
Dari curhat keresahan jadi bapak, bongkar kenakalan masa muda, nostalgia zaman siaran radio, sampai adu perspektif soal komedi—semuanya dibahas tanpa rem. Bonusnya? Pandji Pragiwaksono dan Cing Abde</t>
  </si>
  <si>
    <t>tzO_7Pfw8E0</t>
  </si>
  <si>
    <t>ECA DAN SAHIL SAMA-SAMA DIAWASIN BOKAPNYA BIAR GAK KELEWAT BATAS - PODCAST BAHLUL SPESIAL RAMADHAN</t>
  </si>
  <si>
    <t>2026-03-16T10:01:22Z</t>
  </si>
  <si>
    <t>Astagfirullah aloy😅 ini saatnya tahun lu loy. Tetap rendah hati &amp; jgn bosan menghibur kami</t>
  </si>
  <si>
    <t>Noice, podcast, audiobook, audioseries, radio, cerita, drama, komedi, horor, misteri, live, cinta, berita, politik, musik, agama, spiritual, hobi, lifestyle, hiburan, edukasi, inspirasi, bisnis, noise, noice meme podcast, eca aura, chindo, bahlul, kamal seleb</t>
  </si>
  <si>
    <t>2026-07-27T11:33:31Z</t>
  </si>
  <si>
    <t>Kirain udah dewasa… ternyata hidupnya masih diawasin bokap juga?! 🫢
Di episode ini, Eca cerita jujur tentang perjalanan hidupnya: dari lama jadi anak rantau, naik turunnya karier, pengalaman “puasa ikutan” karena circle pertemanan, sampai kisah patah hati yang gak main-main.
Sepanjang obrolan, tin</t>
  </si>
  <si>
    <t>NQZto-en6NA</t>
  </si>
  <si>
    <t>BINTANG TAMU KAYA SETAN! OKI &amp; LOLOX BIKIN DUO BAHLUL MELEDAK - PODCAST BAHLUL (SAHIL DAN KAMAL)</t>
  </si>
  <si>
    <t>2026-04-13T10:00:37Z</t>
  </si>
  <si>
    <t>aloy si paling motivasi😂</t>
  </si>
  <si>
    <t>Noice, podcast, audiobook, audioseries, radio, cerita, drama, komedi, horor, misteri, live, cinta, berita, politik, musik, agama, spiritual, hobi, lifestyle, hiburan, edukasi, inspirasi, bisnis, noise, noice meme podcast, lolox, oki rengga, duo bahlul, kamal, tiba-tiba setan, marah, darah tinggi, naik darah, film horor, pwk</t>
  </si>
  <si>
    <t>2026-07-27T10:39:16Z</t>
  </si>
  <si>
    <t>STUDIO HAMPIR PECAH! EMOSI MELEDAK DARI DETIK PERTAMA! 
Gak ada pemanasan. Gak ada basa-basi. Begitu mic nyala… LANGSUNG RIBUT!
Duo Bahlul (Sahil &amp; Kamal) ketemu Duo Batak yang sama-sama keras kepala. Yang harusnya cuma ngobrol santai, malah berubah jadi ajang adu mental, adu bacot, dan adu siapa pa</t>
  </si>
  <si>
    <t>FSC1kOGDdLg</t>
  </si>
  <si>
    <t>HABIB JAFAR CERITA ORANG TUANYA DULU SENSI SAMA ORANG KAYA — PODCAST BAHLUL (SAHIL &amp; KAMAL</t>
  </si>
  <si>
    <t>Kamal said:"jadi,jangan pernah menunda apapun itu,kalo lo suka lo kejar,ga dapet yauda cari yg lain."👏🏼🔥👑respect🔥🔥🔥</t>
  </si>
  <si>
    <t>2025-11-10T09:00:20Z</t>
  </si>
  <si>
    <t>Pujian</t>
  </si>
  <si>
    <t>Netral</t>
  </si>
  <si>
    <t>Ternyata bukan cuma netizen yang iri sama orang kaya… orang tuanya Habib Jafar dulu juga sensi! 
Di episode ini, obrolan bareng Sahil &amp; Kamal jadi makin rame — dari cerita masa kecil sampai pandangan hidup yang bikin mikir tapi tetep ngakak.
Siap-siap, obrolan ini bakal ngebongkar sisi “manusiawi” y</t>
  </si>
  <si>
    <t>deXkpmMo_s8</t>
  </si>
  <si>
    <t>Coba mereka disatuin pasti keren</t>
  </si>
  <si>
    <t>2026-07-27T10:45:53Z</t>
  </si>
  <si>
    <t>⁠KATA SOLEH KAMAL PALING LUCU, TAPI SAHIL LEBIH TAJIR ! — Podcast Bahlul (Sahil &amp; Kamal)</t>
  </si>
  <si>
    <t>gua suka orang" kaya sania gak banyak manipulasi,, lucu nya natural dia biasa ngomong kasar ya kasar aja,, paling suka sama orang" yang jauh dari kemunafikan ❤❤❤ emang cocok dah tuh coleb di konten" selanjutnya</t>
  </si>
  <si>
    <t>2025-11-24T09:22:43Z</t>
  </si>
  <si>
    <t>Negatif</t>
  </si>
  <si>
    <t>Mulutnya pedes, tapi entah kenapa banyak musisi suka minta disayat halus sama kritikus musik yang satu ini!
Di episode ini, Soleh hadir buat nge-review toko parfum Sahil Kamal, bongkar love life, sampe cerita heboh Prediksi bareng Andre Taulany dan pasukan lengkapnya. 
Siap-siap ngakak, karena Sahil</t>
  </si>
  <si>
    <t>jc8DKUWU4lk</t>
  </si>
  <si>
    <t>GARA-GARA TIKTOK HALDA JADI TAKUT DICULIK SUPIR TAKSI WAKTU UMROH - PODCAST BAHLUL SPESIAL RAMADAN</t>
  </si>
  <si>
    <t>Wahhhhh dokter ini nih yg sliweran mulu di ig gue 😂❤</t>
  </si>
  <si>
    <t>2026-02-23T10:15:04Z</t>
  </si>
  <si>
    <t>2026-07-27T11:49:08Z</t>
  </si>
  <si>
    <t>20% informasi
80% lawak 
😂</t>
  </si>
  <si>
    <t>Lainnya</t>
  </si>
  <si>
    <t xml:space="preserve">Satu video TikTok bisa ngubah cara orang melihat situasi… bahkan di tanah suci!
Di Podcast Bahlul Spesial Ramadan, Halda cerita pengalaman tak terduga saat Umroh—rasa takut yang muncul gara-gara konten TikTok tentang penculikan supir taksi.
Bukan buat nakut-nakutin, tapi jadi pengingat pentingnya </t>
  </si>
  <si>
    <t>Total</t>
  </si>
  <si>
    <t>kp_nuneJcOA</t>
  </si>
  <si>
    <t>⁠BOIYEN PUNYA DUA DUNIA! PAGI JADI SISWA, MALEM KERJA MENGHIBUR ORANG - PODCAST BAHLUL (DUO BAHLUL)</t>
  </si>
  <si>
    <t>2026-04-27T11:34:17Z</t>
  </si>
  <si>
    <t>undang lagi please dokter sama aloy..kocak banget 🤣</t>
  </si>
  <si>
    <t>2026-07-27T12:08:36Z</t>
  </si>
  <si>
    <t>BOYEN INI MANUSIA APA AGEN RAHASIA?! 
Pagi duduk manis di kelas… malam berubah jadi mesin hiburan?! Hidup apa sinetron sih ini?!
Di Podcast Bahlul, SAHIL &amp; KAMAL berhasil “menginterogasi” BOYEN dan nemuin fakta-fakta yang bikin geleng kepala:
Ini bukan sekadar cerita… ini double life level nekat!
Ka</t>
  </si>
  <si>
    <t>eP23ocY6VWc</t>
  </si>
  <si>
    <t>RAHASIA JADI KAYA BAKAL DIBONGKAR HABIB JAFAR LEWAT DOA YANG DIJABAH SAAT PUASA - PODCAST BAHLUL</t>
  </si>
  <si>
    <t>2026-02-27T14:36:41Z</t>
  </si>
  <si>
    <t>Di Podcast Bahlul Spesial Ramadhan, Habib Jafar membongkar rahasia yang jarang diomongin: kenapa sebagian doa soal rezeki DIJABAH, sementara yang lain cuma lewat.
Ternyata, jadi kaya bukan soal seberapa sering minta, tapi kapan, bagaimana, dan dengan niat apa kamu berdoa saat puasa.
Banyak orang ra</t>
  </si>
  <si>
    <t>akhirrrnyaaa ampe lumutan ini nungguin episode ini, makasi noice. combo yg mantap antara aloy dan kamalll. BEST BNGTTT</t>
  </si>
  <si>
    <t>RwfWV2IDoCk</t>
  </si>
  <si>
    <t>Mending bikin trio kata gua😂😂</t>
  </si>
  <si>
    <t>2026-07-27T10:32:36Z</t>
  </si>
  <si>
    <t>EMOSI MENGGANGGU, OKI RENGGA JALANI TERAPI ANGER MANAGEMENT - DI PODCAST BAHLUL (SAHIL DAN KAMAL)</t>
  </si>
  <si>
    <t>2025-06-30T09:49:28Z</t>
  </si>
  <si>
    <t>Dtng kesini gara2 Liat d tt..lucuu gacorr bertiga😅😅</t>
  </si>
  <si>
    <t>Noice, podcast, audiobook, audioseries, radio, cerita, drama, komedi, horor, misteri, live, cinta, berita, politik, musik, agama, spiritual, hobi, lifestyle, hiburan, edukasi, inspirasi, bisnis, noise, noice meme podcast, oki rengga, oki rengga kiper, stand up comedy, marah marah, terapi, anger management, sahil mulachela, kamal rasyid, podcast bahlul, jak fm, dufan, nailoong, parfum, arab, galak, batak, timnas indonesia</t>
  </si>
  <si>
    <t>Komedian juga manusia brader.
Bisa ketawa, bisa marah, bisa hilang kontrol juga.
Oki Rengga buka-bukaan soal gimana dia menghadapi emosi yang sering meledak, dan kenapa akhirnya dia butuh bantuan profesional.
Tapi jangan bayangin suasana kelam ya…
Soalnya, pas cerita, Oki tetep aja bikin kita ketaw</t>
  </si>
  <si>
    <t>bXPjYSFEAOI</t>
  </si>
  <si>
    <t>Dokter udah lucu kocak lagi 🥰</t>
  </si>
  <si>
    <t>KALO BALIK SIARAN, GOFAR GAK MAU PROGRAMNYA DI INTERVENSI - PODCAST BAHLUL</t>
  </si>
  <si>
    <t>2026-07-24T12:35:26Z</t>
  </si>
  <si>
    <t>2026-07-27T11:43:22Z</t>
  </si>
  <si>
    <t>Bidadari laut secantik ini di undang cuma buat di hina2 🤣</t>
  </si>
  <si>
    <t>seru ga sih kalo duo bahlul ke marapthon, menghayal aje 🤣</t>
  </si>
  <si>
    <t>2026-07-27T10:53:06Z</t>
  </si>
  <si>
    <t>Noice, podcast, audiobook, audioseries, radio, cerita, drama, komedi, horor, misteri, live, cinta, berita, politik, musik, agama, spiritual, hobi, lifestyle, hiburan, edukasi, inspirasi, bisnis, noise, noice meme podcast, grindboys, warkopolim, wancoy, pakRT, sahil, duo bahlul</t>
  </si>
  <si>
    <t>Akhirnya Gofar Hilman resmi nongkrong bareng Sahil dan Kamal di Toko Parfum Podcast Bahlul!
Dimulai dari bahas bisnis, perawatan diri, rencana umroh, sampai obrolan yang bikin Gofar ngebahas langkah preventif ala Warkopolim kalau suatu saat terjadi hal-hal yang nggak diinginkan.
Tiga penyiar dalam</t>
  </si>
  <si>
    <t>Bikin program kamal aloy mantap👍😂😂</t>
  </si>
  <si>
    <t>lE04tKuqkZs</t>
  </si>
  <si>
    <t>PUASA DITERIMA GA YA?! TAPI KATA HABIB JAFAR BOLEH KRITIK PEMERINTAH -PODCAST BAHLUL SPESIAL RAMADAN</t>
  </si>
  <si>
    <t>1:00:13
Sebagai wanita usia 33 tahun, ini cukup ngena di gue.
Karena emang pas usia 20an terkesan masih jauh, tapi ga berasa udah kepala 3, dan sepertinya kepala 4 sangat dekat.
Banyak yg gue sesali tidak 'mengejar' yg gue mau dari usia muda karena merasa masih jauh.
Ini bukan cuma asmara ya, tp banyak hal 💔</t>
  </si>
  <si>
    <t>2026-07-27T11:18:42Z</t>
  </si>
  <si>
    <t>2026-03-06T10:15:05Z</t>
  </si>
  <si>
    <t>Noice, podcast, audiobook, audioseries, radio, cerita, drama, komedi, horor, misteri, live, cinta, berita, politik, musik, agama, spiritual, hobi, lifestyle, hiburan, edukasi, inspirasi, bisnis, noise, noice meme podcast, login, habib, husein hadar, jafar, ramadan, sahil, kamal, duobahlul, jakfm, tretan muslim, coky pardede, mamat alkatiri</t>
  </si>
  <si>
    <t>PUASA BISA NOL?! 
Ternyata ini yang bikin banyak orang salah paham selama ini…
Di Podcast Bahlul Spesial Ramadan, Habib Jafar bikin pernyataan yang langsung bikin mikir ulang:
kritik pemerintah ternyata BOLEH
bahkan di bulan Ramadan
asalkan caranya benar
Obrolan ini bikin kaget, tapi justru mencerah</t>
  </si>
  <si>
    <t>ZAAFkogntSU</t>
  </si>
  <si>
    <t>Gw fans baru kalian B2 , tapi udah  B2 aja udah rame, kalian B2 tanpa bahasa kotor atau kasar  aja udah lucu pake banget  , jadi Istiqomah aja kalian B2  tanpa bahasa kotor</t>
  </si>
  <si>
    <t>Ini klo ga ada etalase sama Sahil. Fix pukul²an Kamal sama Aloy ini</t>
  </si>
  <si>
    <t>ASTAGFIRULAH! HABIB PUNYA MASA LALU YANG KELAM MENCURI DI BULAN SUCI RAMADHAN</t>
  </si>
  <si>
    <t>2026-02-19T10:15:04Z</t>
  </si>
  <si>
    <t>2026-07-27T11:06:14Z</t>
  </si>
  <si>
    <t>Kritik</t>
  </si>
  <si>
    <t>Noice, podcast, audiobook, audioseries, radio, cerita, drama, komedi, horor, misteri, live, cinta, berita, politik, musik, agama, spiritual, hobi, lifestyle, hiburan, edukasi, inspirasi, bisnis, noise, noice meme podcast, habib jafar, ramadan, onad, login, berbeda tapi bersama</t>
  </si>
  <si>
    <t>ASTAGFIRULAH… 
Siapa sangka, sosok Habib yang dikenal religius ternyata menyimpan masa lalu kelam yang jarang dibahas—bahkan terjadi di bulan suci Ramadhan.
Di Podcast Bahlul Spesial Ramadhan, obrolan kali ini bukan cuma sensasional, tapi penuh refleksi, kejujuran, dan pelajaran hidup. Dari kesalaha</t>
  </si>
  <si>
    <t>10 % informasi 
90% lawak😂</t>
  </si>
  <si>
    <t>uwx0gGHkNTE</t>
  </si>
  <si>
    <t>HARI TERAKHIR HABIB JAFAR NASEHATIN KAMAL YANG SUKA NGELAWAN KALO DI KASIH TAU!</t>
  </si>
  <si>
    <t>2026-03-20T10:01:37Z</t>
  </si>
  <si>
    <t>dokternya enggak ada obat😍😍</t>
  </si>
  <si>
    <t>2026-07-27T11:16:55Z</t>
  </si>
  <si>
    <t>Noice, podcast, audiobook, audioseries, radio, cerita, drama, komedi, horor, misteri, live, cinta, berita, politik, musik, agama, spiritual, hobi, lifestyle, hiburan, edukasi, inspirasi, bisnis, noise, noice meme podcast, lebaran, idul fitri, habib jafar, login, beda universe</t>
  </si>
  <si>
    <t>Apa jadinya kalau orang yang dikenal suka “ngelawan” akhirnya dinasihatin langsung?
Di episode terakhir Podcast Bahlul Spesial Ramadan, Habib Husein Ja'far Al Hadar memberikan nasihat ke Kamal  yang sering membantah saat dikasih tahu.
Momen ini jadi salah satu bagian paling jujur sekaligus relate, t</t>
  </si>
  <si>
    <t>Ini kalau podcast gak panjang umurnya aneh sih, padahal ini podcast paling asik, paduan vibest youtube dan radio. Mau cuma dengerin doang tanpa liat visualnya tetep asik.❤</t>
  </si>
  <si>
    <t>gHG3lNJw150</t>
  </si>
  <si>
    <t>TORA SUDIRO SERING BRANTEM SAMA ISTRINYA GARA-GARA INI?! - Di Podcast Bahlul (SAHIL - KAMAL)</t>
  </si>
  <si>
    <t>2025-06-23T12:10:04Z</t>
  </si>
  <si>
    <t>dr awal udh ngakak😂</t>
  </si>
  <si>
    <t>2026-07-27T10:25:16Z</t>
  </si>
  <si>
    <t>Noice, podcast, audiobook, audioseries, radio, cerita, drama, komedi, horor, misteri, live, cinta, berita, politik, musik, agama, spiritual, hobi, lifestyle, hiburan, edukasi, inspirasi, bisnis, noise, noice meme podcast, tora sudiro, bahlul, kocak, mieke amalia, prediksi, motor, vespa</t>
  </si>
  <si>
    <t>Katanya Mieke udah nggak sayang Tora…
Bukan karena orang ketiga, tapi karena Tora lebih milih main Motor dari pada nyium kening istri.
Di episode kali ini, Tora buka-bukaan soal gimana Mieke udah berubah... udah nggak kayak dulu lagi!
Beneran udah nggak sayang, atau cuma akal-akalan Tora biar konten</t>
  </si>
  <si>
    <t>nk6LysVwWWQ</t>
  </si>
  <si>
    <t>YONO UDAH PUNYA TABUNGAN DI AKHIRAT KARENA MASUKIN ISLAM  ISTRINYA - PODCAST BAHLUL SPESIAL RAMADAN</t>
  </si>
  <si>
    <t>2026-03-11T10:33:10Z</t>
  </si>
  <si>
    <t>apa cmn gue doang klo gue liat muka bang kamal ada unsur bimo picky picksnya sama ada mirip kevin julionya juga sekilas</t>
  </si>
  <si>
    <t>Selalu di tunggu duet maut Duo Bahlul dan Bang Goparrr
Makasi noice , sering-sering dong
Minimal seminggu 3 kali .</t>
  </si>
  <si>
    <t>Noice, podcast, audiobook, audioseries, radio, cerita, drama, komedi, horor, misteri, live, cinta, berita, politik, musik, agama, spiritual, hobi, lifestyle, hiburan, edukasi, inspirasi, bisnis, noise, noice meme podcast, podcast bahlul, yono bakrie, sahil kamal, cina, stand up comedy, suci, raniah alaydroes, vini caroline, chord yono bakrie lauhul mahfudz</t>
  </si>
  <si>
    <t>Semoga ada acara ramadhan buat mereka..biar sahur gw gk ngantuk 😂</t>
  </si>
  <si>
    <t>2026-07-24T13:14:54Z</t>
  </si>
  <si>
    <t>Cocok SKS nih... Sahil Kamal Sania😂😂😂</t>
  </si>
  <si>
    <t>Sound efeknya jir gak tobat-tobat , ganggu bet gerak dikit efek, pindah frame efek, obrolan lagi seru-serunya malah di efek boom,</t>
  </si>
  <si>
    <t>2026-07-24T13:14:38Z</t>
  </si>
  <si>
    <t>Kenapa kandas terus? Mantan juga blm ada yg nikah, artinya emang salah dpt pasangan aja, yg sebelum2 nya cmn emang buat fun aja, jdi tinggal cari aja yg tepat 😊</t>
  </si>
  <si>
    <t>Siapa sangka, Yono ternyata punya tabungan besar di akhirat… 
bukan dari sedekah miliaran, tapi dari satu keputusan yang mengubah hidup seseorang.
Di episode Podcast Bahlul Spesial Ramadan kali ini, Yono cerita bagaimana perjalanan istrinya sampai akhirnya memeluk Islam. 
Dari yang awalnya cuma ob</t>
  </si>
  <si>
    <t>GPsVXOVMkew</t>
  </si>
  <si>
    <t>LUNA &amp; MAXIME BLAK-BLAKAN SOAL SIAPA YANG PALING KUAT STAMINANYA PAS OLAH RAGA - PODCAST BAHLUL</t>
  </si>
  <si>
    <t>1jam gk berasa... Mrka b3 cocok bgt. 3 podcast yg mrka b3 udh aku tonton smua 😍😍😂😂</t>
  </si>
  <si>
    <t>2026-05-29T16:34:43Z</t>
  </si>
  <si>
    <t>Ga pernah bosen, 3 penyiar dalam 1 frame lagi. Ambyaarr😂</t>
  </si>
  <si>
    <t>2026-07-24T12:38:19Z</t>
  </si>
  <si>
    <t>Sebenernya udh seru bgt mereka bertiga, udh klop bgt, cuma sania cb kurangin ngomong ajgnya sm monyetnya deh, jd di dengernya enak, ga tiba tiba lg enak dengerin tau tau ajg ajg mnyet mnyet gituuuuuu.. 
Udh seru bangeeett</t>
  </si>
  <si>
    <t>Noice, podcast, audiobook, audioseries, radio, cerita, drama, komedi, horor, misteri, live, cinta, berita, politik, musik, agama, spiritual, hobi, lifestyle, hiburan, edukasi, inspirasi, bisnis, noise, noice meme podcast, luna maya, maxime, bu bulan, maxime bouttier</t>
  </si>
  <si>
    <t xml:space="preserve">Luna Maya dan Maxime Bouttier akhirnya nongkrong bareng di Podcast Bahlul! Obrolannya chaos dari awal — mulai dari beda generasi, cerita naik gunung zaman dulu, sampai Maxime yang “belum lahir” pas Luna udah sibuk healing ke alam.
Belum lagi curhatan struggle hidup, kebiasaan unik, dan momen-momen </t>
  </si>
  <si>
    <t>jA5hMCU8M6E</t>
  </si>
  <si>
    <t>25 TAHUN JADI ANAK PENURUT, KALI INI IDGITAF BERANI MEMBANTAH! - PODCAST BAHLUL</t>
  </si>
  <si>
    <t>2026-06-15T10:00:10Z</t>
  </si>
  <si>
    <t>Beruntung bgt cave sekali diiklanin langsung brutal😂</t>
  </si>
  <si>
    <t>2026-07-24T20:22:24Z</t>
  </si>
  <si>
    <t>Bisa2nya Nona Bekasi ini klop ama duo arab paruh baya.</t>
  </si>
  <si>
    <t>Noice, podcast, audiobook, audioseries, radio, cerita, drama, komedi, horor, misteri, live, cinta, berita, politik, musik, agama, spiritual, hobi, lifestyle, hiburan, edukasi, inspirasi, bisnis, noise, noice meme podcast, idgitaf, kamal, RT, bahlul, duo bahlul, sahil, batak, agak laen</t>
  </si>
  <si>
    <t>Plot twist keluarga yang nggak ada di sinetron.
Sebelum lagu-lagunya diputar di mana-mana, ternyata IDGITAF pernah menghadapi bos terbesar dalam hidupnya: ayah sendiri. 
Di episode ini, IDGITAF cerita blak-blakan soal momen saat karier musiknya dianggap belum meyakinkan. Untungnya yang diragukan cu</t>
  </si>
  <si>
    <t>ycX82CMlqIg</t>
  </si>
  <si>
    <t>DI BULAN RAMADAN EBEL PENGEN MINTA MAAF SAMA POLISI YANG PERNAH DIA PUKUL</t>
  </si>
  <si>
    <t>2026-02-25T10:15:10Z</t>
  </si>
  <si>
    <t>Kamal tulang punggung komedi indonesia</t>
  </si>
  <si>
    <t>specialist anti dead air ini mah..sll ramee n seruu</t>
  </si>
  <si>
    <t>2026-07-24T14:58:38Z</t>
  </si>
  <si>
    <t>Tambah Dafa Ariq, sama umi quary , berapi" acaranya 😂</t>
  </si>
  <si>
    <t>JARANG TERJADI 
Di bulan Ramadan yang penuh ampunan, Ebel bikin pengakuan mengejutkan di Podcast Bahlul.
Ia mengaku pernah memukul seorang polisi… dan sekarang, di momen Ramadan, Ebel ingin meminta maaf secara terbuka.
Apa yang sebenarnya terjadi waktu itu?
Kenapa baru sekarang berani mengungkap s</t>
  </si>
  <si>
    <t>ybftsPUa56g</t>
  </si>
  <si>
    <t>COBAAN RAMADAN! Dr. BOYKE SERING DI DM FOTO-FOTO VULGAR - PODCAST BAHLUL SPESIAL RAMADAN</t>
  </si>
  <si>
    <t>2026-03-04T10:15:12Z</t>
  </si>
  <si>
    <t>40:30 dari semua podcast, ini kayanya reaksi paling pecah dari seorang kamal sih. natural banget emosinya wkwkw</t>
  </si>
  <si>
    <t>2026-07-24T17:22:00Z</t>
  </si>
  <si>
    <t>Sumpah ni episode pak rete plenger banget 😂
Tapi di detik-detik terakhir bercerita tentang sejarah, jadi kelihatan sisi kerennya, eh plenger lagi 😂😂😂</t>
  </si>
  <si>
    <t>2026-07-24T14:07:45Z</t>
  </si>
  <si>
    <t>Ahir ahir ini lagi kecintaan bgt gue sama gofar😭 semua podcast yang ada dianya wajib di tonto🤣</t>
  </si>
  <si>
    <t>2026-07-24T13:03:21Z</t>
  </si>
  <si>
    <t>Cobaan Ramadan itu macam-macam…
dan ini salah satu yang paling bikin kaget 
Di Podcast Bahlul Spesial Ramadan, Dr. Boyke buka-bukaan soal pengalaman yang jarang banget diceritain ke publik:
➡️ sering di-DM foto-foto nggak pantas
➡️ reaksi beliau sebagai dokter &amp; manusia biasa
➡️ cara menyikapi godaa</t>
  </si>
  <si>
    <t>ZkwAAGJr_fo</t>
  </si>
  <si>
    <t>Udah paling seneng nonton duo bahlul sama gofar. Bener ngakak nya ga kira2 sama tektok mereka. Sat-set ngakak satset ngakak gitu aja terus ga ada abisnya</t>
  </si>
  <si>
    <t>ENZY DAN MAXIME BUKA-BUKA’AN KEHIDUPAN RUMAH TANGGANYA - PODCAST BAHLUL (SAHIL DAN KAMAL)</t>
  </si>
  <si>
    <t>2025-10-14T09:00:49Z</t>
  </si>
  <si>
    <t>2026-07-24T15:04:27Z</t>
  </si>
  <si>
    <t>Noice, podcast, audiobook, audioseries, radio, cerita, drama, komedi, horor, misteri, live, cinta, berita, politik, musik, agama, spiritual, hobi, lifestyle, hiburan, edukasi, inspirasi, bisnis, noise, noice meme podcast, enzy storia, maxime bouttier, bahlul podcast, kamal rasyid, sahil mulachela</t>
  </si>
  <si>
    <t>Enzy &amp; Maxime buka-bukaan rumah tangga mereka!
Ternyata gak semuanya seindah foto di Instagram, 
Mulai dari siapa yang lebih bawel, cara mereka nyelesain ribut kecil, sampai rahasia biar hubungan tetep adem—semua dibongkar di sini!
Yang single siap-siap baper, yang udah nikah siap-siap ngakak.
Den</t>
  </si>
  <si>
    <t>ScdZ18kZcz0</t>
  </si>
  <si>
    <t>Duo bahlul cakeeep kalo pake gamisnya 1 tone color gini 😍😍
Jangan kasih pake yang ada kombinasi garis2 warna lain lagi yaa</t>
  </si>
  <si>
    <t>NJAN APA? NJAN MUSISI, BUKAN NJAN ANAK SULE, ATAU ADENYA IKI - PODCAST BAHLUL (SAHIL DAN KAMAL)</t>
  </si>
  <si>
    <t>2025-10-06T10:46:39Z</t>
  </si>
  <si>
    <t>2026-07-24T13:12:22Z</t>
  </si>
  <si>
    <t>dari kemarin gua tungguin akhirnya upload juga, plis dong 2 hari sekali uploadnya</t>
  </si>
  <si>
    <t>2026-07-24T12:39:22Z</t>
  </si>
  <si>
    <t>Noice, podcast, audiobook, audioseries, radio, cerita, drama, komedi, horor, misteri, live, cinta, berita, politik, musik, agama, spiritual, hobi, lifestyle, hiburan, edukasi, inspirasi, bisnis, noise, noice meme podcast, njan, rizki febian, sahil kamal</t>
  </si>
  <si>
    <t>Di episode ini, Njan jelasin kenapa dia lebih pengen dikenal sebagai musisi, bukan cuma bagian dari keluarga selebriti.
Sahil &amp; Kamal ngebongkar semua hal random, dari musik sampai hidup di bawah bayangan bapak legend 
Tonton sampe abis, biar lo gak salah kira tentang Njan!
Like, Comment, Subscribe</t>
  </si>
  <si>
    <t>T-PKIrfeqJI</t>
  </si>
  <si>
    <t>Cocok banget njiir klo gofar ketemu kamal , lucu  kali yee bikin konten bareng 🤣🤣</t>
  </si>
  <si>
    <t>5 AKUN REKOMENDASI YUSRIL YANG DAPAT MENGURANGI PAHALA PUASA - PODCAST BAHLUL SPESIAL RAMADAN</t>
  </si>
  <si>
    <t>2026-02-26T10:15:03Z</t>
  </si>
  <si>
    <t>2026-07-24T18:04:29Z</t>
  </si>
  <si>
    <t>PUASA KAMU BOCOR TANPA SADAR?! 
Yusril dengan berani nyebutin 5 AKUN yang katanya bisa MENGURANGI PAHALA PUASA — dan parahnya, SEMUA ORANG PERNAH LIAT.
Di Podcast Bahlul Spesial Ramadan ini, obrolan santai berubah jadi tamparan rohani 
Scroll dikit, ketawa dikit, emosi dikit… eh pahalanya ilang pela</t>
  </si>
  <si>
    <t>TNgc8MUdvas</t>
  </si>
  <si>
    <t>RAMADAN JADI MOMENT INTROSPEKSI ADJIS KE ANAK-ANAK KOMIKA</t>
  </si>
  <si>
    <t>2026-03-13T10:38:30Z</t>
  </si>
  <si>
    <t>buset bang gopar ke sini juga. next radio bahlul kayaknya wkwk</t>
  </si>
  <si>
    <t>2026-07-24T12:54:37Z</t>
  </si>
  <si>
    <t>Noice, podcast, audiobook, audioseries, radio, cerita, drama, komedi, horor, misteri, live, cinta, berita, politik, musik, agama, spiritual, hobi, lifestyle, hiburan, edukasi, inspirasi, bisnis, noise, noice meme podcast, adjis doa ibu, stand up comedy, komika, bahlul, podcast bahlul, comika</t>
  </si>
  <si>
    <t>Ramadan katanya waktu terbaik buat introspeksi diri.
Tapi di episode Podcast Bahlul Spesial Ramadan kali ini, Adjis Doa Ibu akhirnya ngaku… kalau selama ini dia sering “lupa” sama anak-anak komika yang pernah dia bantu.
Di obrolan ini, Adjis mulai nginget lagi perjalanan bareng komika-komika yang d</t>
  </si>
  <si>
    <t>DKfABkQ8W84</t>
  </si>
  <si>
    <t>BERLLIANA LOVELL SANG PEMERSATU BANGSA KETIPU 1 MILYAR! - Di Podcast Bahlul (SAHIL DAN KAMAL)</t>
  </si>
  <si>
    <t>2025-06-16T08:56:44Z</t>
  </si>
  <si>
    <t>Ga pernah gagal ngakak ketika trio bahlul podcast</t>
  </si>
  <si>
    <t>2026-07-24T16:03:35Z</t>
  </si>
  <si>
    <t>Noice, podcast, audiobook, audioseries, radio, cerita, drama, komedi, horor, misteri, live, cinta, berita, politik, musik, agama, spiritual, hobi, lifestyle, hiburan, edukasi, inspirasi, bisnis, noise, noice meme podcast, berliana lovel, penipuan, parfum, pemersatu bangsa, bahlul, sahil, kamal, duo bahlul, arab</t>
  </si>
  <si>
    <t>GENGS... Berlliana Lovell kena tipu 1 MILYAR 😭
Iya, BENERAN 1 MILYAR RUPIAH! Bukan 1 juta, bukan 1 dus mie instan, tapi yang bisa beli rumah + AC + galon isinya.
Di episode ini kita kupas tuntas:
🕵️‍♀️ Siapa dalang di balik penipuan sadis yang dialamin Berlliana Lovell?
😵 Gimana ceritanya bisa keje</t>
  </si>
  <si>
    <t>z_P1BgrCXH8</t>
  </si>
  <si>
    <t>TERNYATA DANY BELER PERNAH DISURUH JADI USTAD SAMA BAPAKNYA, EH MALAH JADI PELAWAK! - PODCAST BAHLUL</t>
  </si>
  <si>
    <t>2026-03-02T10:15:06Z</t>
  </si>
  <si>
    <t>suka banget sama episode ini celetukannya nyambung banget bertiga, please undang penyiar lagi dong kaya Surya gitu dll</t>
  </si>
  <si>
    <t>Noice, podcast, audiobook, audioseries, radio, cerita, drama, komedi, horor, misteri, live, cinta, berita, politik, musik, agama, spiritual, hobi, lifestyle, hiburan, edukasi, inspirasi, bisnis, noise, noice meme podcast, dany beler, mens rea, pandji pragiwaksono, sahil kamal, sahil mulachela, kamal rasyid</t>
  </si>
  <si>
    <t>2026-07-24T15:53:43Z</t>
  </si>
  <si>
    <t>Siapa sangka!
Ternyata dulu Dany Beler pernah disuruh bapaknya jadi Ustad! tapi takdir berkata lain malah dia belok jadi pelawak!
.
Di episode Podcast Bahlul Spesial Ramadan ini, Dany bongkar cerita masa lalu yang jarang banget dibahas:
➡️ konflik batin
➡️ tuntutan keluarga
➡️ pilihan hidup yang bik</t>
  </si>
  <si>
    <t>S_W5NSOD6jk</t>
  </si>
  <si>
    <t>MAMI NUNUNG JADI LC AWAL MULA GABUNG SRIMULAT - DI PODCAST BAHLUL (SAHIL DAN KAMAL)</t>
  </si>
  <si>
    <t>2025-07-21T11:21:53Z</t>
  </si>
  <si>
    <t>Siapa sangka, di balik gaya kocaknya, Nunung ternyata punya bakat terpendam yang nggak kalah heboh: ngulek sambal sambil ngedesah! 🔥
Di Video ini Nunung bakal bikin kamu ngakak sekaligus heran—karena ekspresi dan suara khas pas ngulek itu... sampai bikin Sahil dan Kamal gelagapan! 😂🌶️
Mau tahu ken</t>
  </si>
  <si>
    <t>Owh... pria SOLEH itu lagi</t>
  </si>
  <si>
    <t>tux7dbT0AwU</t>
  </si>
  <si>
    <t>REZA CHANDIKA PUNYA PENGALAMAN BURUK SOAL BERAT BADAN - PODCAST BAHLUL (SAHIL DAN KAMAL)</t>
  </si>
  <si>
    <t>2026-07-24T14:09:37Z</t>
  </si>
  <si>
    <t>2025-09-30T09:15:12Z</t>
  </si>
  <si>
    <t>Noice, podcast, audiobook, audioseries, radio, cerita, drama, komedi, horor, misteri, live, cinta, berita, politik, musik, agama, spiritual, hobi, lifestyle, hiburan, edukasi, inspirasi, bisnis, noise, noice meme podcast, bahlul, reza chandika, rapot, kamal, sahil, arab, podcast seminggu</t>
  </si>
  <si>
    <t xml:space="preserve">Reza Chandika akhirnya berani cerita! 
Ternyata di balik tawa dan gaya kocaknya, ada pengalaman pahit soal berat badan yang bikin dia nggak nyaman banget.
Obrolan ini bakal bikin lo mikir ulang soal body shaming &amp; perjuangan self-love.
Jangan sampai kelewatan, tonton sampai habis di Podcast Bahlul </t>
  </si>
  <si>
    <t>SYiN3t4m928</t>
  </si>
  <si>
    <t>KORUPSI MAKIN HARI MAKIN KREATIF! ADA KORUPTOR DARI UMUR 23 TAHUN - PODCAST BAHLUL</t>
  </si>
  <si>
    <t>Wkwkwkw inii aaseli yaaa obrolannya itu asbun bangett yaaa 😂😂. Bisa seee kocak ini 😂</t>
  </si>
  <si>
    <t>2026-07-13T10:00:00Z</t>
  </si>
  <si>
    <t>2026-07-27T13:15:04Z</t>
  </si>
  <si>
    <t>Noice, podcast, audiobook, audioseries, radio, cerita, drama, komedi, horor, misteri, live, cinta, berita, politik, musik, agama, spiritual, hobi, lifestyle, hiburan, edukasi, inspirasi, bisnis, noise, noice meme podcast, KPK, Molan, Korupsi, pungli</t>
  </si>
  <si>
    <t>"Bayar ini... bayar itu..." Lama-lama keluar rumah serasa lagi main game, tiap lewat ada yang nagih! 
Di episode kali ini, Sahil &amp; Kamal sampai "disidak" sama Molan bareng KPK. Niatnya ngobrol santai, eh malah satu-satu "tagihan kehidupan" dibongkar!
Bayar uang bangku... padahal bangkunya kayu, bu</t>
  </si>
  <si>
    <t>8ZZTzwnAC5c</t>
  </si>
  <si>
    <t>DUSTIN LEBIH SAYANG GELANG KONSER DIBANDING ISTRINYA - DUO BAHLUL (SAHIL DAN KAMAL)</t>
  </si>
  <si>
    <t>2025-08-05T10:14:42Z</t>
  </si>
  <si>
    <t>Ya Allah ngakakkk bahas cave ngk ada habis2nya 🤣🤣🤣🤣</t>
  </si>
  <si>
    <t>2026-07-24T15:02:28Z</t>
  </si>
  <si>
    <t>Noice, podcast, audiobook, audioseries, radio, cerita, drama, komedi, horor, misteri, live, cinta, berita, politik, musik, agama, spiritual, hobi, lifestyle, hiburan, edukasi, inspirasi, bisnis, noise, noice meme podcast, dustin, sahil, kamal, jkt48</t>
  </si>
  <si>
    <t>Siapa sangka, cuma gara-gara repost video, Dustin bisa dapetin pacar pertama yang langsung jadi istri! 😳🔥
Di episode kali ini, Dustin Tiffani bongkar semua jurus rahasia deketin Ditha—dari trik halus sampe treatment “anti gagal” buat cewek… yang bikin Sahil &amp; Kamal geleng-geleng + speechless! 😯💥
S</t>
  </si>
  <si>
    <t>tabRxpMenuU</t>
  </si>
  <si>
    <t>MELANIE SUBONO NANGGEPIN KONTROVERSI PESTAPORA 2025 - PODCAST BAHLUL (SAHIL DAN KAMAL)</t>
  </si>
  <si>
    <t>2025-12-08T09:01:26Z</t>
  </si>
  <si>
    <t>1 JAM KAGAK KERASAAA BAT 😂😂😂 LUCU PARAH LAGI DONG PART 2!!!!</t>
  </si>
  <si>
    <t>2026-07-24T13:40:28Z</t>
  </si>
  <si>
    <t>Melanie Subono main ke Podcast Bahlul dan langsung ngobrol santai tapi tetep rame soal kontroversi Pestapora 2025 
Ngomongin drama backstage, cerita lucu, sampai hal-hal random yang tiba-tiba muncul—semuanya ngalir aja kayak nongkrong di warung kopi padahal lagi di toko parfume.
Sahil dan Kamal cum</t>
  </si>
  <si>
    <t>TqCMCREeizY</t>
  </si>
  <si>
    <t>DEN DIMAS KEASIKAN MODIF MOTOR MIO SAMPE LUPA TERNYATA UDAH KELUAR DUIT BANYAK - PODCAST BAHLUL</t>
  </si>
  <si>
    <t>2026-02-10T03:00:34Z</t>
  </si>
  <si>
    <t>Semoga umrohnya mabrur dan lancar jaya.</t>
  </si>
  <si>
    <t>2026-07-24T15:01:08Z</t>
  </si>
  <si>
    <t>fHzXmvJ6Bek</t>
  </si>
  <si>
    <t>Noice, podcast, audiobook, audioseries, radio, cerita, drama, komedi, horor, misteri, live, cinta, berita, politik, musik, agama, spiritual, hobi, lifestyle, hiburan, edukasi, inspirasi, bisnis, noise, noice meme podcast, den dimas, fitra eri, otomotif</t>
  </si>
  <si>
    <t>Koh Edric , tektokan ya jago… emang bener2 kalau udh aktif di dunia Host dan MC ini. Enak banget ngobrolnya.</t>
  </si>
  <si>
    <t>Tiba-tiba nama Den Dimas keseret dan DITUDUH jadi koordinator balap liar?! 
Padahal gak pernah ngaku, gak pernah muncul, eh malah disebut-sebut.
Di episode Podcast Bahlul kali ini, Sahil dan Kamal bongkar ceritanya dari awal:
siapa yang pertama nyebut nama, kenapa isu ini bisa melebar, dan sejauh a</t>
  </si>
  <si>
    <t>2026-07-20T10:42:40Z</t>
  </si>
  <si>
    <t>Q0WBekbrUbY</t>
  </si>
  <si>
    <t>RIFAT SUNGKAR RELA NAIK MOTOR DEMI GANTI RUGI MOBIL OMNYA - DI PODCAST BAHLUL (SAHIL DAN KAMAL)</t>
  </si>
  <si>
    <t>2025-07-28T09:00:36Z</t>
  </si>
  <si>
    <t>Noice, podcast, audiobook, audioseries, radio, cerita, drama, komedi, horor, misteri, live, cinta, berita, politik, musik, agama, spiritual, hobi, lifestyle, hiburan, edukasi, inspirasi, bisnis, noise, noice meme podcast, destinator, mitsubishi, rifat sungkar, rally, ken block</t>
  </si>
  <si>
    <t>Dari 7 kali nabrak mobil sampai rela jual mobil pribadi buat ganti rugi ke omnya...
Rifat Sungkar tetap gak kapok balapan! ￼🔥
Di episode ini, Rifat buka-bukaan soal tips aman &amp; nyaman di jalan — juga di rumah.. Bahkan sampai trik “jual diri” yang bikin Sahil &amp; Kamal auto kepo!
Penasaran kenapa obr</t>
  </si>
  <si>
    <t>Nungguin epsd raditya dika</t>
  </si>
  <si>
    <t>1ynJKzBdpMw</t>
  </si>
  <si>
    <t>RECAP PALING KOTOR! DUO BAHLUL REACT EPISODE TERJOROK SEPANJANG SEJARAH - PODCAST BAHLUL</t>
  </si>
  <si>
    <t>2026-04-20T10:00:03Z</t>
  </si>
  <si>
    <t>2026-07-20T10:25:09Z</t>
  </si>
  <si>
    <t>Duo Bahlul akhirnya ngerecap dan react ke episode terjorok sepanjang sejarah—dan reaksi mereka? Gak ada yang ditahan!
Dari momen yang bikin ngakak sampe yang bikin geleng-geleng kepala, Sahil &amp; Kamal bongkar semuanya tanpa sensor. Beberapa bagian bahkan bikin mereka sendiri kaget…
Kalau lo pikir i</t>
  </si>
  <si>
    <t>sdykDJISQ3Q</t>
  </si>
  <si>
    <t>SINYORITA BERCANDAIN KRU TV, BAPER EH MALAH DIKAWININ - DI PODCAST BAHLUL (SAHIL DAN KAMAL)</t>
  </si>
  <si>
    <t>2025-07-09T09:18:49Z</t>
  </si>
  <si>
    <t>bagus karna ada Edric jadi mantep tek tok kannya ama kamal, gk tersinggung, asoy 👍🏻</t>
  </si>
  <si>
    <t>2026-07-20T13:17:37Z</t>
  </si>
  <si>
    <t>Senyumnya eriska rein selalu cantik dari dulu</t>
  </si>
  <si>
    <t>2026-07-20T11:20:45Z</t>
  </si>
  <si>
    <t>Noice, podcast, audiobook, audioseries, radio, cerita, drama, komedi, horor, misteri, live, cinta, berita, politik, musik, agama, spiritual, hobi, lifestyle, hiburan, edukasi, inspirasi, bisnis, noise, noice meme podcast, sinyorita, trans tv, berita viral, sinyo, duo bahlul, jak fm, jak101fm, pernikahan, crew, love, kamal rasyid, nikita mirzani</t>
  </si>
  <si>
    <t>Ternyata di balik gaya ceplas-ceplosnya, Sinyo punya rahasia yang baru keungkap di sini! 
Siapa sangka hatinya pernah jatuh ke… crew TV? Bukan aktor, bukan host—tapi yang di belakang layar!
Obrolan ini penuh tawa, bumbu gosip, dan momen “lah kok jujur banget sih?”
Kira kira apa yang bikin Seorang s</t>
  </si>
  <si>
    <t>nGSalYTjDR4</t>
  </si>
  <si>
    <t>Pokoknya Podcast yang Ada si Akmal, langsung ditonton, Kalo ga sempat nonton, di like dulu. Biar inget nonton nya. Selalu bikin mood bagus deh</t>
  </si>
  <si>
    <t>BAIM WONG MINTA TIPS GIMANA CARA DAPET BINI LEBIH DARI SATU</t>
  </si>
  <si>
    <t>2026-03-18T10:01:15Z</t>
  </si>
  <si>
    <t>2026-07-20T10:20:32Z</t>
  </si>
  <si>
    <t>Sekalinya datang ke Podcast Bahlul, Baim Wong malah bikin suasana langsung pecah.
Bukan karena cerita filmnya, bukan juga karena pengalaman hidupnya.
Tapi karena satu pertanyaan random yang dia lontarkan yaitu… “Tips dapet istri dua gimana?” 😭
Di episode spesial Ramadhan ini, kamu bakal dengar ceri</t>
  </si>
  <si>
    <t>l2n7Yl0S18A</t>
  </si>
  <si>
    <t>OZA RANGKUTI JADI HOST WEDDING AL GHAZALI - Di Podcast Bahlul (SAHIL DAN KAMAL)</t>
  </si>
  <si>
    <t>2025-06-02T09:00:06Z</t>
  </si>
  <si>
    <t>Eriska .. slh 1 artis ftv fav 😂 ❤</t>
  </si>
  <si>
    <t>2026-07-20T10:07:33Z</t>
  </si>
  <si>
    <t>Noice, podcast, audiobook, audioseries, radio, cerita, drama, komedi, horor, misteri, live, cinta, berita, politik, musik, agama, spiritual, hobi, lifestyle, hiburan, edukasi, inspirasi, bisnis, noise, noice meme podcast, oza rangkuti, luna maya, maxim, nikah, mc, host wedding, netizen, bully, sahil, kamal, podcast bahlul, sahil kamal, sahil mulachela, parfum, wangi, oza rangkuti lamaran, oza rangkuti menik</t>
  </si>
  <si>
    <t>Di episode spesial Duo Bahlul kali ini, kita kedatangan tamu absurd dan jenius: Oza Rangkuti! Bareng Sahil dan Kamal, Oza cerita Next mau jadi MC nikahan Al Ghazali.
Ngobrolnya ngalor-ngidul, dari rahasia jadi MC yang nggak garing, cerita job absurd, sampai filosofi hidup ala Oza yang nyeleneh tapi</t>
  </si>
  <si>
    <t>Bv0p8mmVS1g</t>
  </si>
  <si>
    <t>COKI ANWAR CARI PASANGAN HIDUP YANG SAMA KUATNYA- DI PODCAST BAHLUL (SAHIL DAN KAMAL)</t>
  </si>
  <si>
    <t>2025-07-14T09:38:21Z</t>
  </si>
  <si>
    <t>Next Undang The Nurul Dong</t>
  </si>
  <si>
    <t>Noice, podcast, audiobook, audioseries, radio, cerita, drama, komedi, horor, misteri, live, cinta, berita, politik, musik, agama, spiritual, hobi, lifestyle, hiburan, edukasi, inspirasi, bisnis, noise, noice meme podcast, Coki Anwar, NgakakBareng, SahilKamal, CintaDanDrama, podcast bahlul, ngakak</t>
  </si>
  <si>
    <t xml:space="preserve">Selain dikenal kuat, Coki Anwar ternyata playboy karena udah 13 kali pacaran
Track record percintaannya  bikin geleng-geleng kepala! 
Dari satu mantan ke mantan lain, ceritanya bener-bener kayak sinetron yang nggak ada habisnya.
Berapa banyak mantan yang pernah hadir di hidup Coki? Kenapa setiap </t>
  </si>
  <si>
    <t>2026-07-20T10:01:17Z</t>
  </si>
  <si>
    <t>f07Ug_QK5ps</t>
  </si>
  <si>
    <t>Ajil Ditto Cerita Diteror Mahluk Halus Di Rest Area - Di Podcast Bahlul (Sahil Dan Kamal)</t>
  </si>
  <si>
    <t>2025-09-22T12:09:13Z</t>
  </si>
  <si>
    <t>Noice, podcast, audiobook, audioseries, radio, cerita, drama, komedi, horor, misteri, live, cinta, berita, politik, musik, agama, spiritual, hobi, lifestyle, hiburan, edukasi, inspirasi, bisnis, noise, noice meme podcast, sahil, kamal, ajjil ditto, davina karamoy</t>
  </si>
  <si>
    <t>Ajil Ditto sampe KETAKUTAN gara-gara temennya sendiri!? 
Nggak nyangka kelakuan tengil bisa bikin TEROR kayak gini…
Kira-kira gimana keseruannya dan siapa dalang di balik semua ini?
Jangan lupa tonton sampe habis biar nggak ketinggalan momen kocaknya!
Subscribe sekarang biar nggak kelewat video se</t>
  </si>
  <si>
    <t>D98I_0sDqHM</t>
  </si>
  <si>
    <t>BIKIN RUSUH !!! DUO BAHLUL ROASTING PENONTON PESTAPORA - DI PODCAST BAHLUL</t>
  </si>
  <si>
    <t>2025-10-27T11:47:44Z</t>
  </si>
  <si>
    <t>Biasanya konten promo gini membosankan cuma ni podcast bahlul sama podcast seminggu yang konten promo nya tetep seru ga ngebosenin</t>
  </si>
  <si>
    <t>2026-07-23T15:24:46Z</t>
  </si>
  <si>
    <t>Noice, podcast, audiobook, audioseries, radio, cerita, drama, komedi, horor, misteri, live, cinta, berita, politik, musik, agama, spiritual, hobi, lifestyle, hiburan, edukasi, inspirasi, bisnis, noise, noice meme podcast, podcast bahlul, duo bahlul, sahil mulachela, pestapora, kamal rasyid, roasting, roasti</t>
  </si>
  <si>
    <t>Katanya nonton Pestapora buat healing… tapi yang ini malah pulang dengan luka batin 
Duo Bahlul datang bukan buat nyanyi, tapi buat nyerang mental penonton! 
Dari outfit nyeleneh sampai curhatan absurd, semua kena roasting tanpa ampun.
Kalau kemarin kamu ketawa di depan panggung, coba tonton lagi de</t>
  </si>
  <si>
    <t>ERISKA, EDRIC &amp; TISSA DISIDANG DUO BAHLUL! GAK ADA YANG LOLOS! - PODCAST BAHLUL</t>
  </si>
  <si>
    <t>2026-07-20T10:00:00Z</t>
  </si>
  <si>
    <t>Bang Kamal banyak in podkes2 dong...hari2 q sepi g ada podkes u😢</t>
  </si>
  <si>
    <t>2026-07-20T12:15:06Z</t>
  </si>
  <si>
    <t>Katanya sih, "Gue sehat, kok!" 
Eh... pas dicek, mukanya langsung berubah jadi mode "Ya Allah, ini hasil punya siapa?" 
Di episode kali ini, Eriska, Edric, dan Tissa ngobrolin kebiasaan sok kuat, sok sehat, sampai momen yang bikin panik gara-gara hasil cek kesehatan didampingi dr. Cindy Pudjiadi, S</t>
  </si>
  <si>
    <t>ALOY NASEHATIN YB BIAR LEBIH PINTER SOAL CEWEK?! - PODCAST BAHLUL</t>
  </si>
  <si>
    <t>2026-07-27T10:00:12Z</t>
  </si>
  <si>
    <t>Noice, podcast, audiobook, audioseries, radio, cerita, drama, komedi, horor, misteri, live, cinta, berita, politik, musik, agama, spiritual, hobi, lifestyle, hiburan, edukasi, inspirasi, bisnis, noise, noice meme podcast, duo bahlul, aloy, maraphton, aloy aloy</t>
  </si>
  <si>
    <t>Okedeh, sembari nunggu, bintang tamu, aloy, gofar ama bang radit</t>
  </si>
  <si>
    <t>Mister Aloy A nya itu AJG - Asik Juga. Akhirnya mister aloy mampir ke Podcast Bahlul!
Obrolan di episode ini bener-bener di luar nalar! Mulai dari Mister Aloy mendadak jadi "guest star" buat selametan toko parfum, cerita perjuangan cari uang dari nol, sampai kerusuhan yang bikin bajunya basah semua</t>
  </si>
  <si>
    <t>JhhUc1uN09w</t>
  </si>
  <si>
    <t>2026-07-20T11:08:03Z</t>
  </si>
  <si>
    <t>2025-08-04T09:00:24Z</t>
  </si>
  <si>
    <t>Noice, podcast, audiobook, audioseries, radio, cerita, drama, komedi, horor, misteri, live, cinta, berita, politik, musik, agama, spiritual, hobi, lifestyle, hiburan, edukasi, inspirasi, bisnis, noise, noice meme podcast, dustin, kocak, jhonns</t>
  </si>
  <si>
    <t>GD = Gemuk Duduk 
Fresh banget ini 🤣🤣</t>
  </si>
  <si>
    <t>2026-07-20T17:23:26Z</t>
  </si>
  <si>
    <t>mo bintang tamu nya berapa aj, tetep kocak pak rt..</t>
  </si>
  <si>
    <t>2026-07-20T13:25:50Z</t>
  </si>
  <si>
    <t>Tuh kamal... Kayaknya beneran deh kamal perlu check up total</t>
  </si>
  <si>
    <t>2026-07-20T11:54:52Z</t>
  </si>
  <si>
    <t>Nonton udah setengah jalan, ketawa terus.. hahaha. Host ma tamunya nyambung semua</t>
  </si>
  <si>
    <t>2026-07-23T06:14:24Z</t>
  </si>
  <si>
    <t>Gokil bang Kamal asli ngakak pas belokin ad-libs nya "krn ZEP jg terkoneksi dgn kamera ETLE, ok lari tuh.. dan TMC Polda Metro, ok sorry" 😅😅😅</t>
  </si>
  <si>
    <t>2026-07-20T11:27:04Z</t>
  </si>
  <si>
    <t>Rame yaa 🤣🤣🤣</t>
  </si>
  <si>
    <t>2026-07-20T10:03:37Z</t>
  </si>
  <si>
    <t>banyakkin dong podcadst nya duo bahlul</t>
  </si>
  <si>
    <t>2026-07-20T11:35:53Z</t>
  </si>
  <si>
    <t>Bang Akmal konsisten. Lucu teroooos</t>
  </si>
  <si>
    <t>2026-07-20T14:29:57Z</t>
  </si>
  <si>
    <t>kalau mic nya pake klip on kayanya lebih luwes..</t>
  </si>
  <si>
    <t>2026-07-20T15:11:29Z</t>
  </si>
  <si>
    <t>Suka sekali Dua bahlul ,hari2 nungguin</t>
  </si>
  <si>
    <t>2026-07-20T11:03:30Z</t>
  </si>
  <si>
    <t>Bang Molan kayaknya tamu dadakan deh wkwkwk sesama satu kantor tinggal dipanggil</t>
  </si>
  <si>
    <t>2026-07-13T12:06:07Z</t>
  </si>
  <si>
    <t>udah di tahap ga peduli bintang tamu siapa, di podcast manapun, di channel manapun, asal ada duo bahlul kita gass wkwkw</t>
  </si>
  <si>
    <t>2026-07-13T13:10:51Z</t>
  </si>
  <si>
    <t>Bapak" baju item tau betapa muaknya rakyat sama pejabat 😂</t>
  </si>
  <si>
    <t>2026-07-13T15:46:40Z</t>
  </si>
  <si>
    <t>kayanya perlu satu episode khusus mang Molan sendirian dah</t>
  </si>
  <si>
    <t>2026-07-14T09:36:55Z</t>
  </si>
  <si>
    <t>mang molan di saling semprot cuma ketawa ketiwi, disini GANAS BGT MANGG</t>
  </si>
  <si>
    <t>2026-07-14T10:47:07Z</t>
  </si>
  <si>
    <t>Harus 2x, sih ini si Mamang Molan jadi bintang tamu! Kaga perlu ada beginian dah!</t>
  </si>
  <si>
    <t>2026-07-13T15:30:46Z</t>
  </si>
  <si>
    <t>Undang lg Mang Molan sm partnernya dulu di Mustang, Rico Ceper.. klo Surya pasti susah, udah jadi tulang punggung komedi industri.. sibuuuk 😂</t>
  </si>
  <si>
    <t>2026-07-13T15:36:04Z</t>
  </si>
  <si>
    <t>terimakasih noice, sudah konsisten 1 minggu 1× post seperti yg di harapkan para penonton, semoga noice makin sukses  biar para sponsor masuk teruss, biar bisa menghadirkan bintang tamu keren di eps selanjutnya, di tunggu bintang tamu gong yang lainnya</t>
  </si>
  <si>
    <t>2026-07-13T12:11:10Z</t>
  </si>
  <si>
    <t>Padahal narasumbernya KPK... Tapi obrolannya jd menyenangkan karena ada bantuan molan jg... Bagus episode ini... 👍👍</t>
  </si>
  <si>
    <t>2026-07-13T13:54:32Z</t>
  </si>
  <si>
    <t>wkwkwkw lucu banget ini kang molan 😂😂😂 plis undang terus di podcast manapun duo bahlul berada</t>
  </si>
  <si>
    <t>2026-07-13T11:12:56Z</t>
  </si>
  <si>
    <t>Gua liat kang molan kek 11 12 ama surya, pinter, wawasannya luas, bisa lucu bisa bijak, keren, pantesan bgt mereka langgeng siaran 10 tahun</t>
  </si>
  <si>
    <t>2026-07-15T05:37:09Z</t>
  </si>
  <si>
    <t>Njir kpk bener2 keliatan rusaknya😂</t>
  </si>
  <si>
    <t>2026-07-13T10:41:48Z</t>
  </si>
  <si>
    <t>Undang Bu ayu Ting Ting dong. Biar ketemu sama pak RT depok</t>
  </si>
  <si>
    <t>2026-07-13T10:02:51Z</t>
  </si>
  <si>
    <t>Kang Molan, si pemberi makan surya bubur kacang ijo, yang udah berubah jadi toge😭</t>
  </si>
  <si>
    <t>2026-07-13T15:50:35Z</t>
  </si>
  <si>
    <t>Nungguin podcast lu orang muncul udh kayak nunggu 1 periode. Lamaaaa</t>
  </si>
  <si>
    <t>2026-07-13T10:02:33Z</t>
  </si>
  <si>
    <t>Disini kang molan bisa tengil bangeeettt gk ada yg nengilin balik 😂</t>
  </si>
  <si>
    <t>2026-07-13T11:55:41Z</t>
  </si>
  <si>
    <t>yaa Allah anak radio kangen bgd ini ama bang molan 😂</t>
  </si>
  <si>
    <t>2026-07-20T08:52:48Z</t>
  </si>
  <si>
    <t>Molan dasarnya,,,, udah gemes</t>
  </si>
  <si>
    <t>2026-07-19T08:45:34Z</t>
  </si>
  <si>
    <t>PLIS COLLAB SM MOLEN DAN SURYAA DONG DUO BAHLUL, KOCAK BET PASTII😂</t>
  </si>
  <si>
    <t>2026-07-13T16:01:17Z</t>
  </si>
  <si>
    <t>47:39 kampeeeeeeetttttt.. gw juga nungguin contohnya.. malah nanya 🤣😂</t>
  </si>
  <si>
    <t>2026-07-13T13:59:16Z</t>
  </si>
  <si>
    <t>Buat lo yang mau beli tiket Special Show Bold vs Bald tanggal 18 Juli 2026, bisa langsung beli di website: https://www.loket.com/event/bold-bald_wTD3</t>
  </si>
  <si>
    <t>2026-07-06T10:24:11Z</t>
  </si>
  <si>
    <t>Dari video ini kita bisa belajar bahwa cing abdel dan pandji sangat physical touch 😂😂😂</t>
  </si>
  <si>
    <t>2026-07-06T12:08:08Z</t>
  </si>
  <si>
    <t>jokes buya hamka sama kakak bimbim, tetep lucuuu fakkkkk😭😭😭</t>
  </si>
  <si>
    <t>2026-07-08T00:24:40Z</t>
  </si>
  <si>
    <t>Emang beda ya kalo penyiar disatuin main podcast begini, gacoorrr</t>
  </si>
  <si>
    <t>2026-07-06T11:32:26Z</t>
  </si>
  <si>
    <t>Ini bintang tamu yg dinanti²kan bisa diundang ke Duo Bahlul..
Eh, tiba² langsung 2 duanya diundang 😂
Podcast Duo Bahlul... KEREEEN 👍👍👍</t>
  </si>
  <si>
    <t>2026-07-06T15:47:00Z</t>
  </si>
  <si>
    <t>Dar der dor gak pake jeda lucu terusssss</t>
  </si>
  <si>
    <t>2026-07-06T10:27:11Z</t>
  </si>
  <si>
    <t>vibesnya podcast ini serasa bapak2 yang lagi ngobrol di pos ronda 🤣kamal masuk bgt bareng cing abdel &amp; panji. mgkn krn usianya. sementara sahil cm pelengkap ramein dg ketawa2nya. sahil jd serasa anak junior yg lagi dengerin jokes bapak2😂</t>
  </si>
  <si>
    <t>2026-07-11T00:46:40Z</t>
  </si>
  <si>
    <t>Next undang Duo Insomnia ( Surya Ama Adit ) dong pas banget tuh di podcast Duo Bahlul..</t>
  </si>
  <si>
    <t>2026-07-06T12:36:32Z</t>
  </si>
  <si>
    <t>Kadang pengen gw cabein rasanya mulut *Kamal* .Bawel. Berisik. Gak sabaran. Tapi lucuuuu 🫶😂✨</t>
  </si>
  <si>
    <t>2026-07-09T02:35:11Z</t>
  </si>
  <si>
    <t>Penyiar kawakan yg humoris itu kalo ngobrol becanda seru bgt, karena wawasan luas, diksi luas, dan respon mikir cepet. Cakep</t>
  </si>
  <si>
    <t>2026-07-06T11:18:03Z</t>
  </si>
  <si>
    <t>Kocak bgt bapak2 pra lansia ini 🤣🤣🤣</t>
  </si>
  <si>
    <t>2026-07-06T13:22:33Z</t>
  </si>
  <si>
    <t>gile bgt Kamal, ditembak bertubi² ga pake napas kek machine gun ampe guest star nya ngefreeze 🤣</t>
  </si>
  <si>
    <t>2026-07-06T10:40:50Z</t>
  </si>
  <si>
    <t>Respect sahil selalu kewalahan nyingkirin tangan nya kemal yg kebiasan kalo ngomong pake nunjuk2 😂</t>
  </si>
  <si>
    <t>2026-07-09T13:39:44Z</t>
  </si>
  <si>
    <t>Dear Noice, bisa ga episode2 duo bahlul diperbanyak? 2x Seminggu misalnya. Lucu bgttttt itu si kamal. Bikin mood bagus. ❤❤❤</t>
  </si>
  <si>
    <t>2026-07-06T10:06:37Z</t>
  </si>
  <si>
    <t>Kamal diabisin kagak abis abis kwkwkwk</t>
  </si>
  <si>
    <t>2026-07-08T06:16:25Z</t>
  </si>
  <si>
    <t>buset punchline mulu 🤣🤣</t>
  </si>
  <si>
    <t>2026-07-06T11:25:51Z</t>
  </si>
  <si>
    <t>Enak yakk duo bahlul kalo bintang tamu nya penyiar agak enteng kerjanya kagak ada takut dead air😊</t>
  </si>
  <si>
    <t>2026-07-06T14:54:06Z</t>
  </si>
  <si>
    <t>makasi noice, semoga kedepannya duo bahlul bisa konsisten terus untuk upload seminggu sekali, biar kita pendengar setia punya stok tontonan seru dan lucuu</t>
  </si>
  <si>
    <t>2026-07-06T10:54:50Z</t>
  </si>
  <si>
    <t>DEWASA bener dua bintang tamu ini 😂😂</t>
  </si>
  <si>
    <t>2026-07-06T13:50:23Z</t>
  </si>
  <si>
    <t>Ini kalau dibikinin podcast 24 jam nonstop 4 orang ini kayaknya bakal seru sih, obrolannya ga abis2 😂</t>
  </si>
  <si>
    <t>2026-07-06T13:21:30Z</t>
  </si>
  <si>
    <t>sekelas abdur mulut jahatnya kalah sama kamal wkwkwwkwk</t>
  </si>
  <si>
    <t>2026-06-30T03:56:49Z</t>
  </si>
  <si>
    <t>Gantian duo bahlul diundang ke titik kumpul 😅 mungkin bisa geger😅😂</t>
  </si>
  <si>
    <t>2026-06-29T11:51:45Z</t>
  </si>
  <si>
    <t>orang timur vs orang timur tengah🤣</t>
  </si>
  <si>
    <t>2026-06-29T10:05:00Z</t>
  </si>
  <si>
    <t>asli, gua ngakak parah ketika Kamal versus Abdur... Benar-benar lawan yang sepadan.</t>
  </si>
  <si>
    <t>2026-06-29T21:47:51Z</t>
  </si>
  <si>
    <t>Abdur tertekan sekali😂😂.. disetir dari awal sampe tutup 😂😂</t>
  </si>
  <si>
    <t>2026-06-29T10:38:13Z</t>
  </si>
  <si>
    <t>Rasyid vs Arsyad
keduanya pny arti yg sama  : pandai, cerdik, nama adalah doa, makanya 2 org itu pd cpt bgt mikirnya jawabnya,  luas wawasannya, Masya Allah</t>
  </si>
  <si>
    <t>2026-06-30T08:10:24Z</t>
  </si>
  <si>
    <t>akhirnya abdur ngerasain jadi mamat, kamal bener" lu yak</t>
  </si>
  <si>
    <t>2026-06-29T13:56:31Z</t>
  </si>
  <si>
    <t>Ni 2 arab lebih aggresif framingnya dibanding orang orangan tikum 🤣</t>
  </si>
  <si>
    <t>2026-06-29T12:40:07Z</t>
  </si>
  <si>
    <t>Abdur ketemu lawan seimbang nih, seru bgt 😂</t>
  </si>
  <si>
    <t>2026-06-29T11:14:18Z</t>
  </si>
  <si>
    <t>Baru kali ini tukang fitnah kena fitnah 😂</t>
  </si>
  <si>
    <t>2026-06-29T13:51:19Z</t>
  </si>
  <si>
    <t>buat noice, manfaatkan lah waktu sebaik mungkin. mumpung dua bahlul lgii di minat in sama penggemar dan penonton baru ya tolong konten nya yg konsisten, kita para penonton setia jg mau kalo di kasih konten seminggu 1× aja di hari yang konsisten. tolonglah di dengarkan ini keluhan inii yaakk</t>
  </si>
  <si>
    <t>2026-06-29T11:50:57Z</t>
  </si>
  <si>
    <t>Abdur digeber Kamal trooss sampe ga bs bekutik dia wkwkwk</t>
  </si>
  <si>
    <t>2026-06-30T08:24:43Z</t>
  </si>
  <si>
    <t>tukang fitnah semua😂</t>
  </si>
  <si>
    <t>2026-06-29T21:37:31Z</t>
  </si>
  <si>
    <t>Baru 19 menit menonton gua bisa menyimpulkan Abdur Arsyad ini benar benar sangat rendah hati,terlihat dia mencoba berusaha keras beradaptasi,dia terlihat sangat menahan ucapannya,bisa aja dia jawab semua cecaran Kamal dan Syahil dengan gaya ngelesnya seperti biasanya,tapi dia tidak melakukannya.Sebab ciri khasnya Abdur biasanya kan emang celetukan celetukannya, tapi dia tidak melakukannya di awal.
Btw, apa yang di bilang Syahil sama Kamal di ahir bener sih, Abdur mungkin butuh suasana baru buat healing,circle baru biar lebih luas,bukan berarti ganti circle,itu bisa memunculkan ide ide baru. Abdur kebanyakan berkutat di ibukota, politik,transportasi umum,sekalinya main ama temen komika komika lagi. Lamakera dah paling bener tuh 😁</t>
  </si>
  <si>
    <t>2026-06-30T02:47:39Z</t>
  </si>
  <si>
    <t>bawa ke titik kumpul biar bang abdur ada yang bantuin 😆</t>
  </si>
  <si>
    <t>2026-06-29T12:04:01Z</t>
  </si>
  <si>
    <t>Abdur bener" di bantai disini ya allah ngakak 😅😅😅😅</t>
  </si>
  <si>
    <t>2026-06-30T01:17:51Z</t>
  </si>
  <si>
    <t>DPP adalah singkatan dari Dana Pengembangan Pendidikan (sering disebut juga uang pangkal atau uang gedung).</t>
  </si>
  <si>
    <t>2026-06-29T10:25:15Z</t>
  </si>
  <si>
    <t>Nyuri kebun : lu ormas ? 😂😂😂😂</t>
  </si>
  <si>
    <t>2026-06-29T12:14:06Z</t>
  </si>
  <si>
    <t>Disini Abdur dapat lawan tk fitnah yg dapat mengungguli fitnahan Abdur... Abdur kerepotan... Ngakak  rapet pokonya😂😂😂</t>
  </si>
  <si>
    <t>2026-06-30T03:03:33Z</t>
  </si>
  <si>
    <t>mamat full senyum kalo nonton ini 😂</t>
  </si>
  <si>
    <t>2026-06-29T11:57:41Z</t>
  </si>
  <si>
    <t>keseluruhan podcastnya kaya adek2 yg dititip emaknya ke om2 di pos satpam... lucu bgt</t>
  </si>
  <si>
    <t>2026-06-15T12:37:28Z</t>
  </si>
  <si>
    <t>JUJUR ini episode yg OK banget siii. Selain ngulik karya, hostnya juga mau ngejawab keresahan anak perempuan yg butuh insight dr pria dewasa which is udah jd bapak2. Jadi bukan sekedar nanya, tp jd ada ilmunya. Sukses trs Idgitaf &amp; semoga segera mendapat pencerahan dr keresahan mu. 🤍</t>
  </si>
  <si>
    <t>2026-06-16T06:22:14Z</t>
  </si>
  <si>
    <t>Ilmu ngurus warga sebagai Pak RT kepake banget disini,ditanya apa bisa ngasih jawaban yg bagus.good job pak Rete🤣🤣</t>
  </si>
  <si>
    <t>2026-06-16T05:24:35Z</t>
  </si>
  <si>
    <t>Model rambut Kamal yg ini cocok bgt. Jd kelihatan lebih muda 🤩</t>
  </si>
  <si>
    <t>2026-06-15T10:27:02Z</t>
  </si>
  <si>
    <t>3 bulan lebih gw perhatiin hampir tiap hari, Nonton kamal ini berasa nonton 1 paket kelucuan desta, surya, wendy, andre, dicky... semua sudah ada dikamal... gw akui dia salah satu komedian tercerdas...</t>
  </si>
  <si>
    <t>2026-06-16T20:27:27Z</t>
  </si>
  <si>
    <t>Om-om lg ngasuh ponakan.. gap generasi nya kental sekaliii kocak</t>
  </si>
  <si>
    <t>2026-06-15T12:59:20Z</t>
  </si>
  <si>
    <t>Jangan di judge gaes. Ini fase dimana anak muda melihat apa yg dia lakukan benar. Apalagi dia sudahencapai dan bisa mendapat semuanya. 😊</t>
  </si>
  <si>
    <t>2026-06-16T14:41:36Z</t>
  </si>
  <si>
    <t>suka banget sama statement Idgitaf yang “gak mendukung musik dari AI”✨🤘🏻</t>
  </si>
  <si>
    <t>2026-06-16T02:50:44Z</t>
  </si>
  <si>
    <t>Respect ke 2 bapak2 Arab ini.....waktu gita tanya pacaran beda agama, jawabannya wise 👏🏻👏🏻👏🏻👏🏻👏🏻</t>
  </si>
  <si>
    <t>2026-06-16T05:44:20Z</t>
  </si>
  <si>
    <t>lu itu dipilih bukan karena keadaan tapi oleh Tuhan, itu2 orang beruntung tau
aku denger itu nangis banget..diakhir malah nangis padahal dari awal ketawa mulu</t>
  </si>
  <si>
    <t>2026-06-20T07:10:42Z</t>
  </si>
  <si>
    <t>1:10:39 baru kali ini ngrasa ngefans baaanget sama orang, Kamal ni bener bener orang yang komplit banget, ni orang dari segi lawakan udah bener bener gilaaaakk gaada obat, cletukan dan act out nya tuu gilaaa banget gaada stop ketawa sama orang ini, yang bikin makin ngefans tu cara berpikir kamal tentang berkehidupan selalu jawabannya enak dan cocok buat gw pribadi, dari segi sosial atau secara agama pun dia sangat bisa menjawab dengan realistis dan menyejukkan, pastinya dengan cara dia yaa wkwkwk, tapi buat gw itu sangat sejuk, thanks banget duo bahlul jadi teman setiap gw makan, setiap gw rebahan sepulang kerja, sehat sehat bang kamal dan bang sahil ✨</t>
  </si>
  <si>
    <t>2026-06-15T14:04:59Z</t>
  </si>
  <si>
    <t>tadi nya ga expect bintang tamu nya...tapi Gita nge blend banget ama duo bahlul....enjoy banget dengerin mereka ngobrol 1jam kurang...Gita Masih banyak yg mo ditanya ke duo bahlul😂😂😂</t>
  </si>
  <si>
    <t>2026-06-16T02:10:24Z</t>
  </si>
  <si>
    <t>Sadis nih konten podcast hari ini. Gita ngebawa topik berat soal pernikahan beda agama ke bapak2 bahlul ini. Kedewasaan (dan kesabaran) dua bapak2 ini bener2 diuji..... wkwkwkwkwkwk. Seberapapun mau dibawa bercanda, Gita selalu ngebalikin ke arah yang berat dan serius.hhahahahaha</t>
  </si>
  <si>
    <t>2026-06-15T15:37:36Z</t>
  </si>
  <si>
    <t>Terimakasih, Kamal..
Selucu elo tp prinsip hidup loe kuat bgt..
Kelakuan msh BS di toleransi dibanding keyakinan</t>
  </si>
  <si>
    <t>2026-06-16T10:52:41Z</t>
  </si>
  <si>
    <t>Ya allah.. seru banget,, klo lahiran 2000 cerita sama lahiran 80an.. 😂..</t>
  </si>
  <si>
    <t>2026-06-15T18:55:32Z</t>
  </si>
  <si>
    <t>Kamal itu bisa nyambung dan mudah akrab dengan semua narasumber.</t>
  </si>
  <si>
    <t>2026-06-15T12:10:05Z</t>
  </si>
  <si>
    <t>Oh ini ya ternyata penyanyinya ya, Lagu kesukaan Almarhumah anak saya sebelum menninggal selalu dengerin dan nyanyi2 lagu ini. Al-Fatihah untuk putri syurga Papah 🤲</t>
  </si>
  <si>
    <t>2026-06-18T03:35:52Z</t>
  </si>
  <si>
    <t>Git.., sekeras apapun km mencari pembenaran atas perjuangan km sama pacar yg beda agama itu tetep gak ada titik terangnya, apalagi keluarga masih saklek harus seagama....</t>
  </si>
  <si>
    <t>2026-06-15T22:51:05Z</t>
  </si>
  <si>
    <t>ngapa seminggu sekali si, minimal 2x donggggg</t>
  </si>
  <si>
    <t>2026-06-15T10:48:04Z</t>
  </si>
  <si>
    <t>Git thanku udh jadi perpanjangan lidah ciwi² gen z yg mungkin ngerasain hal yang sama kayak kamu tapi bingung gimana nyampeinnya ke generasi yg lebih tua (wkwk gue ngomong gini udh kayak tua bgt host nya)😂 tapi thank you ya podcast ini mengandung jenaka, nasihat, pelajaran, pesan pesan, dan jadi tau gimana pov bapak dan kekhawatiran orang tua thd anak perempuan nya. One of best podcast I've ever watched</t>
  </si>
  <si>
    <t>2026-07-27T01:20:12Z</t>
  </si>
  <si>
    <t>ya ampun min bikin gak bisa tidur, untung besok libur</t>
  </si>
  <si>
    <t>2026-05-29T20:23:51Z</t>
  </si>
  <si>
    <t>Maxime ini klau sudah cocok dan dia nyaman dia jadi bawel bgt,asbun bgt klu ketemu duo bahlul,lucu bgtt pas dia geleng geleng kepala dengerin istrinya jelasin olah raga 😂😂</t>
  </si>
  <si>
    <t>2026-05-30T03:01:08Z</t>
  </si>
  <si>
    <t>Jujur aja ini opini aneh tapi tiga kalii duo bahlul ketemu maxime itu lucu pecah banget maxime lepas banget ketawanya kayaknya cocok juga nih duo bahlul x maxime😂</t>
  </si>
  <si>
    <t>2026-05-29T17:36:23Z</t>
  </si>
  <si>
    <t>Sering² dah podcast bareng Luna Max..seru kocak asli</t>
  </si>
  <si>
    <t>2026-05-30T02:01:20Z</t>
  </si>
  <si>
    <t>"Luna jangan nganga doang nanti laler masuk" kamal doang yg bisa bilang gini😂😂</t>
  </si>
  <si>
    <t>2026-05-30T01:22:29Z</t>
  </si>
  <si>
    <t>Anjay luna maxime klo ktemu duo bahlul jadi kocak bgt😂</t>
  </si>
  <si>
    <t>2026-05-30T09:51:11Z</t>
  </si>
  <si>
    <t>Luna Maya artis cantik,Humble dan smart,jawaban2nya cerdas banget dan Luna di sini keliatan banget sangat sayang sm suaminya,di suruh nilai suaminya di kasih 10/10,padahal Max keliatan banget gak suka olah raga,bagus Luna,istri harus jaga martabat suami,Bismillah RT Luna n Max Bahagia Langgeng sampai maut memisahkan🤲</t>
  </si>
  <si>
    <t>2026-05-30T00:18:21Z</t>
  </si>
  <si>
    <t>maxime dari yang pertama muncul di podcast bahlul jawabnya singkat-singkat, malu-malu di rembulan, sekarang udah jago banget tektokan sama duo bahlul 🤣</t>
  </si>
  <si>
    <t>2026-05-30T11:07:44Z</t>
  </si>
  <si>
    <t>suka banget duo bahlul X max to the moon, sering sering podcast bareng ya topik apa aja nyambung ada lucu nya juga,</t>
  </si>
  <si>
    <t>2026-05-30T00:53:54Z</t>
  </si>
  <si>
    <t>My favorite Indonesian celebrity couple 🤍 Wishing them endless happiness and the blessing of children when the time is right.</t>
  </si>
  <si>
    <t>2026-05-30T05:19:45Z</t>
  </si>
  <si>
    <t>Kamal selalu ngegendong Podcast Bahlul. Si Tulang Punggung Komedi Indonesia, sehat-sehat ya 🔥</t>
  </si>
  <si>
    <t>2026-05-31T09:32:28Z</t>
  </si>
  <si>
    <t>Cocok nih berempat nyambung 😂😂 lucu lagi .. udah 2 kali liat couple ini d podcast tp ga bosen</t>
  </si>
  <si>
    <t>2026-05-30T02:53:56Z</t>
  </si>
  <si>
    <t>kak Duo Bahlul ,pleaseee sering2  bkin video sma Luna Maxime.   cocok bgt kalian ber4 ❤❤❤mnghibur bgt ,pahala ny banyk kalian kak sudah bkin org bhgia ❤❤❤</t>
  </si>
  <si>
    <t>2026-05-30T08:12:09Z</t>
  </si>
  <si>
    <t>Boleh nh kak luna &amp; max di gabungin lagi dg duo bahlul cocok tertawa mulu 😂😂 tektokaknya masuk 😂</t>
  </si>
  <si>
    <t>2026-05-30T08:53:42Z</t>
  </si>
  <si>
    <t>Vibes nya duo bahlul keren, positif banget. Sebagai seseorang yg sudah berumah tangga, mereka bisa banget masuk ke dalam obrolan LunaMax, dan nggak sedikit yg perannya seakan jadi penengah agar mode tom jerry bisa diminimalisir. Banyak nasihat baik untuk sejoli ini. Sehat sehat ya kalian,dan LunaMax semoga langgeng pernikahannya</t>
  </si>
  <si>
    <t>2026-05-31T06:53:38Z</t>
  </si>
  <si>
    <t>Kocak nih couple, gak pernah ngebosenin..very humble dan apa adanya 😅😅😅</t>
  </si>
  <si>
    <t>2026-05-30T04:14:27Z</t>
  </si>
  <si>
    <t>Bisa lebih lama gak si podcast Luna sama Max. Ngakak liat emosi kamal sama kerandoman Max.. Semoga next mereka ketemu lagi di podcast😂😂😂</t>
  </si>
  <si>
    <t>2026-05-31T09:50:23Z</t>
  </si>
  <si>
    <t>Waktu ramadhan ngakak bnget liat KA Luna SM 2 bahlul .skrg da LG serrrru .ngakak 😂</t>
  </si>
  <si>
    <t>2026-05-29T22:25:55Z</t>
  </si>
  <si>
    <t>bangun tidur lgsung dibikin ngakak ama ini video 😂😂😂duo bahlul klo dah ktemu Luna ama Max seru bgt 😂😂😂</t>
  </si>
  <si>
    <t>2026-05-29T23:42:49Z</t>
  </si>
  <si>
    <t>kalau bareng luna dan maxim selalu lucu duo bahlul</t>
  </si>
  <si>
    <t>2026-05-29T23:23:55Z</t>
  </si>
  <si>
    <t>Next Episode kita mau Jualan Parfum lagi, Kambingnya udah abis, kita mau tambahin parfum extract ketek kaldu kambing (eh gak deng! pokoknya ada yang baru dah). kira-kira bintang tamu siapa lagi yang mau kita uji coba Parfum Baru kita? Tulis di Kolom Komentar!</t>
  </si>
  <si>
    <t>2026-05-29T03:57:26Z</t>
  </si>
  <si>
    <t>Lucu banget, duo arab lagi dengerin ceramah dari orang Cina 😂 Barakallahu fiik ustadz Felix siauw 🙏🏻</t>
  </si>
  <si>
    <t>2026-05-26T14:10:03Z</t>
  </si>
  <si>
    <t>sebagai STAY mau ngucapin makasih udah ngundang Felix Stray Kids🙏🏻</t>
  </si>
  <si>
    <t>2026-05-26T11:20:59Z</t>
  </si>
  <si>
    <t>gw suka niii kl bintang tamunya ustadz² begini, lawaknya berdaging banyak ilmunya ❤😂</t>
  </si>
  <si>
    <t>2026-05-26T12:40:43Z</t>
  </si>
  <si>
    <t>Kamal sama Sahil kelihatan amazed banget liat Ust. Felix, benar-benar perhatiin penjelasan Ustadz. Sama kaya pas sama Jirayut, cuma beda ekspresi aja. 😂
Aku juga kayaknya bakal dengerin aja tiap Ust. Felix ngomong.
Podcast 2 Bahlul favorit setelah sama Jirayut, dari segi hiburan. Kalau paket komplit ini paling favorit. 😊</t>
  </si>
  <si>
    <t>2026-05-27T03:10:03Z</t>
  </si>
  <si>
    <t>Aku selalu suka logika ustadz felix....wih semua penjelasannya akan sesuatu selalu memuaskan ego belajarku. Sehat terus org2 yang selalu menyerukam kebaikan2❤</t>
  </si>
  <si>
    <t>2026-05-26T18:33:26Z</t>
  </si>
  <si>
    <t>Maaal.. subuh jangan d tinggal meski weekend itu tanda org beriman harus ada yg d korbanin seb tanda cinta. Pesan ust felix</t>
  </si>
  <si>
    <t>2026-05-26T12:44:00Z</t>
  </si>
  <si>
    <t>Gw suka mereka berdua karena sering nyenggol2 politik. Ga cuman di podcast.. yang pagi2 di JakFM juga sering masukin tipis2😂😂</t>
  </si>
  <si>
    <t>2026-05-26T10:27:22Z</t>
  </si>
  <si>
    <t>Ust Felix yg bisa menyampaikan dari hal yg susah menjadi ke hal yg mudah Anda Luar biasa ust Felix Siauw 👏👏</t>
  </si>
  <si>
    <t>2026-05-27T17:44:22Z</t>
  </si>
  <si>
    <t>Nice banget hari arafah, guest stars nya langsung gong,..
menit ke 7</t>
  </si>
  <si>
    <t>2026-05-26T10:09:34Z</t>
  </si>
  <si>
    <t>Aahhhhhh, biasanya kalo ada episode baru gw pending buat besok pas ngadepin kerjaan!!lha ini, udah mah besok libur, tamunya ustadz Felix..ya ga ada pending2an dah</t>
  </si>
  <si>
    <t>2026-05-26T12:10:14Z</t>
  </si>
  <si>
    <t>Felix Siauw : Radikal Versi 2.0 (pembaharuan radikal versi halus tapi makin dalam) mantap. Lanjutkan Ustadz, saya makin suka dengan Ustadz canggih seperti anda!</t>
  </si>
  <si>
    <t>2026-05-26T16:34:30Z</t>
  </si>
  <si>
    <t>Ngobrol sampe 3 jam juga nggak masalah ini. Seru banget.</t>
  </si>
  <si>
    <t>2026-05-26T14:01:33Z</t>
  </si>
  <si>
    <t>Perasaan... episode ini yang paling gacor...🤭🤣🤣🤣</t>
  </si>
  <si>
    <t>2026-05-26T17:19:14Z</t>
  </si>
  <si>
    <t>Lagi seneng duo bahlul ehh tambah ustadz Felix ✨🔥</t>
  </si>
  <si>
    <t>2026-05-26T15:12:14Z</t>
  </si>
  <si>
    <t>Makasih noice udah menyediakan konten bisa didownload offline buat tontonan flight</t>
  </si>
  <si>
    <t>2026-05-26T10:02:31Z</t>
  </si>
  <si>
    <t>ga perlu tiap celetukan ada sound effect nya mas mba editor😩😩😩</t>
  </si>
  <si>
    <t>2026-05-26T16:23:57Z</t>
  </si>
  <si>
    <t>Nonton ini pas nemenin buka puasa Arafah, pas bintang tamunya ustadz❤❤❤</t>
  </si>
  <si>
    <t>2026-05-26T10:58:21Z</t>
  </si>
  <si>
    <t>Daging banget nihhh bahasannya,jadi punya renungan sendiri</t>
  </si>
  <si>
    <t>2026-05-26T14:14:17Z</t>
  </si>
  <si>
    <t>Akhirnya ada ustadz Felix Siauw 😅</t>
  </si>
  <si>
    <t>2026-05-26T10:25:42Z</t>
  </si>
  <si>
    <t>2026-05-29T12:04:27Z</t>
  </si>
  <si>
    <t>Keresahan Om Indro mewakili rakyat yg muak ama pejabat2 pemerintah dimasa sekarang</t>
  </si>
  <si>
    <t>2026-05-18T14:56:20Z</t>
  </si>
  <si>
    <t>yang aku  notice sih Om Indro selalu berkaca2 kalo ngomongin tentang negara. sehat2 ya kalian semua</t>
  </si>
  <si>
    <t>2026-05-18T12:00:37Z</t>
  </si>
  <si>
    <t>Asli ini bintang tamunya kelas, legend iya, wawasan tinggi dan luas, tetiba ngakak tetiba kritik cerdas, tetiba sarkas, tetiba makna hidup, warkop emang top</t>
  </si>
  <si>
    <t>2026-05-18T16:06:01Z</t>
  </si>
  <si>
    <t>Suara Hati seorang pelawak yg sudah merasakan pahit manisnya pemimpin di negeri tercinta selama berpuluh-puluh tahun.. 
Sehat selalu om Indro..</t>
  </si>
  <si>
    <t>2026-05-20T01:08:32Z</t>
  </si>
  <si>
    <t>Ini seperti genuine indro warkop yg lucu, gak pernah liat di podcast lain, kecuali di duo bahlul,...kamal sahil kasih jempol bisa bikin om indro kembali ke cetakan pertama</t>
  </si>
  <si>
    <t>2026-05-20T04:27:35Z</t>
  </si>
  <si>
    <t>Sahil baik ya seb sahabat duet kamal, ke beberapa bintang tamu selalu coba naikin kamal supaya bs jadi the next star di dunia entertainment. Semoga awet pertemanan kalian ya.</t>
  </si>
  <si>
    <t>2026-05-18T11:50:20Z</t>
  </si>
  <si>
    <t>ketika luh perduli dan mau ngomong, berarti luh mencintai negara luh' 1:13:56</t>
  </si>
  <si>
    <t>2026-05-18T16:26:15Z</t>
  </si>
  <si>
    <t>Kayaknyanini podcast terbaiknya om indro.. Emosi naik turun, kesel, lucu &amp; pesan2nya yg dalem bgt..</t>
  </si>
  <si>
    <t>2026-05-18T14:45:01Z</t>
  </si>
  <si>
    <t>36:15 Kamal said.."insyaallah surga ya"...emng baik ini org...❤❤</t>
  </si>
  <si>
    <t>2026-05-27T09:01:10Z</t>
  </si>
  <si>
    <t>Jam terbang legend gak  bisa dibohongi.. ngelawak, tiba2 politik, tiba2 kritik.. mantab</t>
  </si>
  <si>
    <t>2026-05-21T06:26:21Z</t>
  </si>
  <si>
    <t>GILA BANGET INI PODCAST DAGING!! butuh banget indonesia nih “bersuara” dari semua aspek. ART IS POLITICAL!  mantap om indro🤩🤟🏻</t>
  </si>
  <si>
    <t>2026-05-18T15:42:33Z</t>
  </si>
  <si>
    <t>Asli baru Liat gua om Indro selepas ini, gila loe ndro😂😂</t>
  </si>
  <si>
    <t>2026-05-19T12:00:36Z</t>
  </si>
  <si>
    <t>Anak-anak pejabat publik/perwira harusnya mencontoh Om Dono dan Om Indro. Mereka berdua itu anak dari polisi tapi sangat berani kritik terhadap negara di masa orde baru. Bahkan Om Indro itu bapaknya bisa disebut sebagai bapak Intelijen Kepolisian Republik Indonesia.</t>
  </si>
  <si>
    <t>2026-05-19T10:53:46Z</t>
  </si>
  <si>
    <t>Ciri khas podcast Bahlul ya nyablaknya si Kamal. Yg justru bisa bikin bintang tamu relax, gak jaim. Penonton baru yg sensi yg ngekritik, Ga usah ngatur-ngatur. Kita suka Kamal yg begini! Top komedian 😂👏🔥🔥🔥</t>
  </si>
  <si>
    <t>2026-05-20T04:24:54Z</t>
  </si>
  <si>
    <t>1:13:30 sepertinya bangsa kita sudah terbiasa tentang MEMBOHONGI DIRI SENDIRI. Sangat terasa sekali🥲</t>
  </si>
  <si>
    <t>2026-05-20T16:49:43Z</t>
  </si>
  <si>
    <t>Bang Kamal langsung excited bgt pas Om Indro ceritain sejarah, anjai keren dah</t>
  </si>
  <si>
    <t>2026-05-19T04:41:36Z</t>
  </si>
  <si>
    <t>ga pernah segercep ini seumur hidupku, pagi dengerin radionya, siang ngulang podcastnya, akhirnya perjalanan sore hari pulang kuliah ditemenin duo bahlul</t>
  </si>
  <si>
    <t>2026-05-18T10:04:29Z</t>
  </si>
  <si>
    <t>Selama gw denger podcast om indrom. Bru kali ini gw ngerasa kocaknya om indro di warkop keluar lagi wkwkwkw.. asli</t>
  </si>
  <si>
    <t>2026-05-18T17:01:48Z</t>
  </si>
  <si>
    <t>Om indra mewakili keresahan kita sebagai rakyat pada pemerintah yg bikin istighfar tiap hari krn asbun dan kinerja pemerintah beserta pejabatnya😢😢</t>
  </si>
  <si>
    <t>2026-05-22T14:43:08Z</t>
  </si>
  <si>
    <t>2026-05-29T04:13:10Z</t>
  </si>
  <si>
    <t>Energinya jirayut 500%, bpk2 tua sampai ngos2an ngejarnya 😂😂😂</t>
  </si>
  <si>
    <t>2026-05-11T11:33:28Z</t>
  </si>
  <si>
    <t>Sahil kena gendam, smp sering bengong, terkuras energinya lihat jirayut yg petakilan😂😂</t>
  </si>
  <si>
    <t>2026-05-13T04:58:45Z</t>
  </si>
  <si>
    <t>Baru di sini Kamal agak kurang marah-marah... Kayak terhibur banget sama Jirayut 😂🤣</t>
  </si>
  <si>
    <t>2026-05-16T10:33:46Z</t>
  </si>
  <si>
    <t>Baru kali ini lihat duo bahlul kewalahan ngadepin bintang tamu, karna energinya jirayut yg luar biasa 😂😂😂</t>
  </si>
  <si>
    <t>2026-05-19T12:48:12Z</t>
  </si>
  <si>
    <t>3 jam podcast juga klo bintang tamunya jirayut mah ku tonton sumpah 🤣 cape cape dah tu host berdua🤣🤣</t>
  </si>
  <si>
    <t>2026-05-11T10:12:10Z</t>
  </si>
  <si>
    <t>sumpah bisa-bisanya dibuat ngakak se jam sama mereka bertiga 😭😭 menurutku ini podcast bahlul paling seruu 😍🔥</t>
  </si>
  <si>
    <t>2026-05-11T18:45:10Z</t>
  </si>
  <si>
    <t>Akhirnya Kamal mendapatkan lawan yang sepadan hahahaha ngakakkkk brutal</t>
  </si>
  <si>
    <t>2026-05-12T06:49:50Z</t>
  </si>
  <si>
    <t>Ga rugi banget ya ngundang jirayut dia selalu totalitas trus cepet banget akrap bikin suasana jadi ga canggung gitu Asik aja suasanyanya trus energinya bener bener full jujur nonton ini energy aku kesedot saking ramenya</t>
  </si>
  <si>
    <t>2026-05-19T06:42:02Z</t>
  </si>
  <si>
    <t>Jirayut natural banget mancing emosi Kamal nyaaa.. pLeaseeee undang lagi 555555555... Ayuutttt WKWKWKWKWK</t>
  </si>
  <si>
    <t>2026-05-11T15:08:43Z</t>
  </si>
  <si>
    <t>Demi Allah ini lucuuu bangettttt 😭😭😭🤣🤣 kak sahil keliatan cape bangettt,beneran kaya kehabisan energi ada beberapa kali moment dia kek ngeblank gitu tapi justru lucu banget, biasanya bintang tamu yang kehabisan energi sama mereka kali ini mereka  yang kehaabisan energi kocakkkkkkkk banget nangissss 😭🤣</t>
  </si>
  <si>
    <t>2026-05-12T12:39:34Z</t>
  </si>
  <si>
    <t>Kita yg nonton aja energinya ke serep apalagi 2 ahjussi itu ya 😂😂😂</t>
  </si>
  <si>
    <t>2026-05-11T14:43:27Z</t>
  </si>
  <si>
    <t>Sahil mukanya gak tahan gua, 😂😂😂 bengong bengong kayak takjub gitu liat jirayut</t>
  </si>
  <si>
    <t>2026-05-17T02:02:08Z</t>
  </si>
  <si>
    <t>Duduk ,berdiri , ampe kamal jugaa ikutan ,bener bener dah jirayut😂😂</t>
  </si>
  <si>
    <t>2026-05-11T14:44:57Z</t>
  </si>
  <si>
    <t>AHH VIDEONYA RILIS PAS MAMAH UDAH GA ADA, UDAH 9 HARI MAMAH MENINGGAL😢
PADAHAL MAMAH SUKA BANGET SAMA JIRAYUT DAN GW SUKA SAMA DUO BAHLUL😢
KALO MAMAH MASIH ADA BUAT NONTON BARENG MAMAH PADAHAL😢
Al-Fatihah buat mamah (almh. Eka Supita binti Subari)</t>
  </si>
  <si>
    <t>2026-05-12T13:49:47Z</t>
  </si>
  <si>
    <t>Akhirnya setelah lama di nanti ep jirayut tayang juga. Seperti yg kita duga Kamal ketemu jirayut pasti pecah😂</t>
  </si>
  <si>
    <t>2026-05-11T10:14:05Z</t>
  </si>
  <si>
    <t>Capek banget gw ngetawain ekspresi duo bahlul tiap kali jirayut gerak2 sm ngomong. Emang jirayut tuh ajaib ya, energinya ga abis2, gerak gini gitu aktfi bgt wkwkw</t>
  </si>
  <si>
    <t>2026-05-17T08:16:27Z</t>
  </si>
  <si>
    <t>Bang sahil energinya langsung kesedot ama jirayut wkwwkwk</t>
  </si>
  <si>
    <t>2026-05-11T11:03:12Z</t>
  </si>
  <si>
    <t>cuma sm jirayut energi sahil habis kaya kena hipnotis gitu 😭🤣</t>
  </si>
  <si>
    <t>2026-05-13T15:21:39Z</t>
  </si>
  <si>
    <t>Salut ibunya baik banget ga manfaatin ketenaran dan uang anak. Anak mau nyerah dibolehin. Anaknya digituin malah jadi semangat lagi. Semangat ayut ❤</t>
  </si>
  <si>
    <t>2026-05-15T01:18:45Z</t>
  </si>
  <si>
    <t>gue doain dapet endorsan rumah juga lu mal, jangan jauh-jauh dari studio, takutnya kesiangan siaran pagi di Jak FM</t>
  </si>
  <si>
    <t>2026-05-04T11:05:43Z</t>
  </si>
  <si>
    <t>Duo bahlul ini jadi tontonan favorit aku sekarang please jngn bungkus dulu 😭🙏🏻</t>
  </si>
  <si>
    <t>2026-05-04T11:17:40Z</t>
  </si>
  <si>
    <t>Suka konsep barunya, jadi juragan kambing 😂
Tolong banget inimah ajak pak muh dan fadil, please.</t>
  </si>
  <si>
    <t>2026-05-04T10:21:23Z</t>
  </si>
  <si>
    <t>Disini rigen enggak bisa emosi karna masih emosian kamalll 😅</t>
  </si>
  <si>
    <t>2026-05-04T13:01:51Z</t>
  </si>
  <si>
    <t>KAMAL RASYID SI TULANG PUNGGUNG KOMEDI INDONESIA 😂 
Kalo dipuji langsung salting. Padahal emang lucu! Wkwk</t>
  </si>
  <si>
    <t>2026-05-04T11:07:13Z</t>
  </si>
  <si>
    <t>Dukung kamal dapat endorsean mobil</t>
  </si>
  <si>
    <t>2026-05-04T10:24:07Z</t>
  </si>
  <si>
    <t>DICKY DIFIE dong datengin 😊</t>
  </si>
  <si>
    <t>2026-05-04T11:36:42Z</t>
  </si>
  <si>
    <t>yok bisa yok Emirates Airlines atau Qatar Airways sponsorin Duo Bahlul yokkkk</t>
  </si>
  <si>
    <t>2026-05-04T10:14:18Z</t>
  </si>
  <si>
    <t>AKHIRNYA RIGEN KETEMU KAMALL</t>
  </si>
  <si>
    <t>2026-05-04T10:27:44Z</t>
  </si>
  <si>
    <t>duo bahlul jadi fav komedian sekarang 🎉😂❤</t>
  </si>
  <si>
    <t>2026-05-04T10:16:20Z</t>
  </si>
  <si>
    <t>PLEASE PENGEN BGT LIAT KAMAL VERSUS NAJWA SHIHAB 〈🤣ノ 🔥🔥🔥</t>
  </si>
  <si>
    <t>2026-05-04T11:08:57Z</t>
  </si>
  <si>
    <t>Menit 29:30 pas Rigen niruin suara kambing 🐐 sumpah ngakak asli 😂🤣</t>
  </si>
  <si>
    <t>2026-05-07T12:30:39Z</t>
  </si>
  <si>
    <t>Gara" loe bedua ya, gw jd dngerin radio lagi..
Sehat" duo bahlul biar lucu teruuuuus...</t>
  </si>
  <si>
    <t>2026-05-04T12:13:36Z</t>
  </si>
  <si>
    <t>DITUNGUUUUU BGTTTTT. Kamal sering² nongol lah</t>
  </si>
  <si>
    <t>2026-05-04T11:02:49Z</t>
  </si>
  <si>
    <t>Lebih asik podcastnya klo kamal sambil nyemil,ngopi,ngrkok, lebih seru nntonnya, klo bisa di bikin kaya saung gtu, kya tongkrongan</t>
  </si>
  <si>
    <t>2026-05-04T15:03:37Z</t>
  </si>
  <si>
    <t>Kamal main film seru kayaknya ya ... ayok dong ajak dua bahlul main film siapapun itu sutradara nya</t>
  </si>
  <si>
    <t>2026-05-04T13:08:03Z</t>
  </si>
  <si>
    <t>cerita rispo nelpon bapaknya Rigen gapernah gagal</t>
  </si>
  <si>
    <t>2026-05-04T11:27:51Z</t>
  </si>
  <si>
    <t>😂😂😂😂rigen suara kambingnya lucu banget, perut gw ampe sakit</t>
  </si>
  <si>
    <t>2026-05-04T12:40:34Z</t>
  </si>
  <si>
    <t>Sumpah makin ter KAMAL KAMAL ini lha slalu nunggu podcast nya dy, perasaan bang Kamal kurusan lha udh gitu suara nya agak serek pliss jaga kondisi duo Bahlul biar slalu bisa menghibur😊</t>
  </si>
  <si>
    <t>2026-05-04T15:12:44Z</t>
  </si>
  <si>
    <t>Duo Bahlul x GJLS dong peliiiiisssssss</t>
  </si>
  <si>
    <t>2026-05-04T11:14:58Z</t>
  </si>
  <si>
    <t>Kalau kita mau bikin Fans Club Duo Bahlul, enaknya namanya apa ya? Kasih ide dong, mumpung mince lagi di toilet.</t>
  </si>
  <si>
    <t>2026-04-27T14:33:08Z</t>
  </si>
  <si>
    <t>Astaga Kamal sama Boiyen kuat bgt ngoceh. Kayak gak napas dua-duanya. Merepet teros!! Gue yg denger aja ngap 🤣🔥</t>
  </si>
  <si>
    <t>2026-04-27T12:50:40Z</t>
  </si>
  <si>
    <t>Boyen sama Kemal jokesnya setara cerdas cermat 🤣🤣🤣</t>
  </si>
  <si>
    <t>2026-04-30T13:12:56Z</t>
  </si>
  <si>
    <t>Dipodkes mana aja kalo ada duo bahlul aku tontonin, suka bgt jokes bapak² akutuh 😂</t>
  </si>
  <si>
    <t>2026-04-27T11:43:01Z</t>
  </si>
  <si>
    <t>nunggu duo bahlul ketemu vindes. semoga ada yang mempertemukan mereka ber4</t>
  </si>
  <si>
    <t>2026-04-27T13:30:20Z</t>
  </si>
  <si>
    <t>Boyennn tambahhh cantikkkkkkk, kamal makin lucuuu, sahil pancing trossss</t>
  </si>
  <si>
    <t>2026-04-27T14:13:02Z</t>
  </si>
  <si>
    <t>Terpantau disni kamal bareng boiyen gak terlalu darah tinggi , tawa mulu 😂</t>
  </si>
  <si>
    <t>2026-04-27T15:57:10Z</t>
  </si>
  <si>
    <t>Kamal  ada boyen d sini ga tll marah marah mlh byk ketawa.. 😊</t>
  </si>
  <si>
    <t>2026-04-29T03:42:04Z</t>
  </si>
  <si>
    <t>Hanya boiyen yg bikin Kamal ngakak .... Disini aura boiyen nular ke duo bahlul santai ga emosian dan byk happy 😅😅😅</t>
  </si>
  <si>
    <t>2026-05-05T07:28:58Z</t>
  </si>
  <si>
    <t>Kamal Sahil mau mancing sedihnya Boiyen terkait mantan suami susah.. karena mereka ga mau menyakiti dan Boiyen pinter banget belokinnya ya. Suka deh mereka ga kasar tp masih tetap ngejar</t>
  </si>
  <si>
    <t>2026-04-28T15:57:49Z</t>
  </si>
  <si>
    <t>Habis ini undang sohibnya si anwar atau jirayuttttt🙌🏻🙌🏻🙌🏻</t>
  </si>
  <si>
    <t>2026-04-27T12:16:47Z</t>
  </si>
  <si>
    <t>Cocok bgt merepet nya kamal sama boiyen klopp 😂😂 sama² merepeeett kocakkk 🤣🤣🤣</t>
  </si>
  <si>
    <t>2026-05-01T02:08:29Z</t>
  </si>
  <si>
    <t>kamal mania, kamalicius, sahabat kamal, APA AJA DEH POKONYA ITU GUA🤸🏻‍♀️</t>
  </si>
  <si>
    <t>2026-04-27T11:40:00Z</t>
  </si>
  <si>
    <t>Dua Orang yg aq sukaa hadir 1 frame,,,,, ❤Kamal ❤Boiyen,,, Peccaaaaahh.....</t>
  </si>
  <si>
    <t>2026-04-27T12:48:15Z</t>
  </si>
  <si>
    <t>moment yg gw tunggu2in nih. boiyen dateng ke podcast duo bahlul. sumpah nyengir mulu gw nontonnya.</t>
  </si>
  <si>
    <t>2026-04-28T03:00:13Z</t>
  </si>
  <si>
    <t>Bang sahil udah tinggal ketawa doank aja deh bang.. Bang kamal &amp; boiyen mrepet mulu tek tokan rapet bgt.. Cape ketawa 😌😌</t>
  </si>
  <si>
    <t>2026-04-28T15:38:53Z</t>
  </si>
  <si>
    <t>Ga sabar nungguin duo bahlul ketemu jirayut. Pasti pecah😂</t>
  </si>
  <si>
    <t>2026-04-27T14:54:25Z</t>
  </si>
  <si>
    <t>Boiyen ketemu Kamal, cocok dah tuh!!!</t>
  </si>
  <si>
    <t>2026-04-28T09:40:43Z</t>
  </si>
  <si>
    <t>cocok banget lagi bang kamal sama ka boiyen tektokan nya ada ajaa😅</t>
  </si>
  <si>
    <t>2026-04-28T14:23:41Z</t>
  </si>
  <si>
    <t>Boyen is back, ini sih boyen udah kembali ke setelan pabrik, aselik gerrrr nya gacor bgt.</t>
  </si>
  <si>
    <t>2026-04-28T12:27:57Z</t>
  </si>
  <si>
    <t>biar setiap hari ditemenin ama Duo Bahlul langsung meluncur ke Jak 101 FM, Streaming di Noice</t>
  </si>
  <si>
    <t>2026-04-22T05:47:27Z</t>
  </si>
  <si>
    <t>Podcast bareng mba Sania, dr. Tirta sama ummi dan habib menurut saya episode yg bikin saya ngakak sepanjang nonton 😂</t>
  </si>
  <si>
    <t>2026-04-20T16:19:21Z</t>
  </si>
  <si>
    <t>Pliiiiiis undang vior atau jirayut pasti seruuuuuu ngeliat kamal kesel 😂</t>
  </si>
  <si>
    <t>2026-04-20T11:12:20Z</t>
  </si>
  <si>
    <t>Episode paling gw suka tuh, Sania Leonardo. Mulut kotor, ceplas ceplos, nyambung lagi sama joke nya Kamal 😂😂</t>
  </si>
  <si>
    <t>2026-04-20T10:44:22Z</t>
  </si>
  <si>
    <t>Season 1 episode favorit Kang Soleh solehun, dr. Tirta, oki Rengga,, season Ramadhan hampir semua suka n rewatch berkali2 pokoke 🥳🥳🥳🥳🥳</t>
  </si>
  <si>
    <t>2026-04-20T10:18:46Z</t>
  </si>
  <si>
    <t>Ayo buat lagi min, butuh untuk asupan temen nyetrika, bingung mau nonton apa sudah di tonton smua podcast duo bahlul</t>
  </si>
  <si>
    <t>2026-04-21T04:48:09Z</t>
  </si>
  <si>
    <t>KLO AQ SICH EPISODE DR. TIRTA, MANTAB BANGET KRN PAKET LENGKAP, NGAKAK NYA DPT &amp; EDUKASINYA JUGA DPT. APLG LIHAT KAMAL DI TERIAKIN DR TIRTA (DEMEN BUANGET)</t>
  </si>
  <si>
    <t>2026-04-20T12:25:27Z</t>
  </si>
  <si>
    <t>Jujur tahun lalu masih nyuci baju di kosan tengah malem sambil dengerin podhub. Sekarang udah ga ada podhub, yang sekarang nemenin nyuci baju malem malem tuh podcast bahlul, kadang podcast lain yang ada duo bahlul. Makadih, udah jadi temen nyuci 🙂</t>
  </si>
  <si>
    <t>2026-05-03T07:59:09Z</t>
  </si>
  <si>
    <t>Undang Fajar sadboy dong biar kamal tensinya 300</t>
  </si>
  <si>
    <t>2026-04-22T03:20:15Z</t>
  </si>
  <si>
    <t>Ketawanya sahil tuh melengkapi keabsurdan kamal 🤣</t>
  </si>
  <si>
    <t>2026-04-20T11:10:32Z</t>
  </si>
  <si>
    <t>Buat Bang KAMAL kalo Nanti tambah  NgeToooop Banget Tetep seperti ini yaaa, please Jgn berubah dgn gaya Khas Celetukan ya TeTAP pertahnkan  karna Itu yg Membuat aq jd ga Pernah Bosen Nonton 2 bahlul,, Sukses trs Bang  KamaL Buat karier nya❤❤❤❤</t>
  </si>
  <si>
    <t>2026-04-20T11:40:26Z</t>
  </si>
  <si>
    <t>Bagi gua ini podcast yg menjadi arah baru dalam ngobrol...</t>
  </si>
  <si>
    <t>2026-04-20T14:09:08Z</t>
  </si>
  <si>
    <t>Pertama nonton dgn Dr.Tirta.. semenjak itu ngikutin trus duo bahlul...menghibur truuus sampai ngakak... 😂😂Kamal cepeet bgt nyautinnya..n Sahil ketawanya jd penyeimbang...sukses teruuus Duo Bahlul...jauh2 nih nungguin podcast Bahlul dr Prancis😅..</t>
  </si>
  <si>
    <t>2026-04-20T13:14:10Z</t>
  </si>
  <si>
    <t>Paling darderdorrr pas dr.tirta sii wkkw</t>
  </si>
  <si>
    <t>2026-04-19T17:21:35Z</t>
  </si>
  <si>
    <t>Suka sekali yg bintang tamunya : umy quary,Sania,mami Nunung,dokter Tirta pecahhh sih</t>
  </si>
  <si>
    <t>2026-04-20T13:39:46Z</t>
  </si>
  <si>
    <t>bnyk banget yah sbnrnya yg kocak2 , tapi favorit saya yg dengan kang soleh , ya karena beliau juga , jadinya mulai ngikutin duo bahlul 😂😂😂</t>
  </si>
  <si>
    <t>2026-04-20T12:48:58Z</t>
  </si>
  <si>
    <t>He Akmal volume mic lu kekecilan. Aneh. Jomplang banget</t>
  </si>
  <si>
    <t>2026-04-20T10:54:05Z</t>
  </si>
  <si>
    <t>jgn2 bungkus neh podcast??gpp msh ada mobi podcast 🤣</t>
  </si>
  <si>
    <t>2026-04-21T03:10:14Z</t>
  </si>
  <si>
    <t>Pas sma  soleh solihun, itu yg bikin gw jatuh cinta ama bahlullllll😊</t>
  </si>
  <si>
    <t>2026-04-20T11:49:05Z</t>
  </si>
  <si>
    <t>Selalu cari konten duo bahlul 😂</t>
  </si>
  <si>
    <t>2026-04-20T10:09:17Z</t>
  </si>
  <si>
    <t>capenya nembus layar 😭😭</t>
  </si>
  <si>
    <t>2026-04-13T11:54:29Z</t>
  </si>
  <si>
    <t>Wkwkwkwk. Baru kali ini, bang kamal beneran keknya capek udah gak bisa ngapa2in sama upin ipin ini 🤣</t>
  </si>
  <si>
    <t>2026-04-13T11:06:15Z</t>
  </si>
  <si>
    <t>3 orang emosian 
1 orang bingung2🤣🤣🤣</t>
  </si>
  <si>
    <t>2026-04-13T12:06:25Z</t>
  </si>
  <si>
    <t>Anehnyaaa skrg cari podcast yg ada 2 bahlul nya mulu😂</t>
  </si>
  <si>
    <t>2026-04-13T11:55:32Z</t>
  </si>
  <si>
    <t>TERKAMAL-KAMAL 🤣🤣🤣
Otaknya cepet bgt</t>
  </si>
  <si>
    <t>2026-04-13T10:04:38Z</t>
  </si>
  <si>
    <t>Gila endingnya seru bgt 😂 gue demen bgt nih kalo si Kamal udah naik pitam sama bintang tamu😅😅 tiba - tiba anjing wkwkwk the best lolox &amp; oki😂😂 sampe Sahil juga kepancing emosi gila keren bgt😂😂😂😂</t>
  </si>
  <si>
    <t>2026-04-14T14:13:40Z</t>
  </si>
  <si>
    <t>Kamal said:"Dengan bodohnya kau datang kesini lagi😢😂😂😂</t>
  </si>
  <si>
    <t>2026-04-13T14:34:48Z</t>
  </si>
  <si>
    <t>Kamal yg biasanya bikin cape bintang tamu, skrg kena karma 😂😂
Jd kwartet bahlul</t>
  </si>
  <si>
    <t>2026-04-13T14:17:45Z</t>
  </si>
  <si>
    <t>Promo film ❌
Marah marah ✅</t>
  </si>
  <si>
    <t>2026-04-13T12:49:21Z</t>
  </si>
  <si>
    <t>GAK KUWAT PLEASE OKI LOLOX ECERAN AJA AKU UDAH KETAWA, INI MALAH DI SATUIN😭😭😭</t>
  </si>
  <si>
    <t>2026-04-13T15:44:23Z</t>
  </si>
  <si>
    <t>Makin kesini makin nungguin duo bahlul hahah, pas bgt lagi makan wkwkk</t>
  </si>
  <si>
    <t>2026-04-13T10:46:32Z</t>
  </si>
  <si>
    <t>Hahaha, Allahumma kamal panjang umur, sehat, banyak uang rizki keberhasilan kesuksesan keberuntungan setiap hari Aaamiin</t>
  </si>
  <si>
    <t>2026-04-21T02:39:27Z</t>
  </si>
  <si>
    <t>KAMALL LUCU BGT SIALANNN😭</t>
  </si>
  <si>
    <t>2026-04-13T12:00:06Z</t>
  </si>
  <si>
    <t>Si oki kek macem ADHD nggak fokus benerr😂😂😂
Kamal : Matiin ajaa gw lox 24:18</t>
  </si>
  <si>
    <t>2026-04-14T01:13:27Z</t>
  </si>
  <si>
    <t>Kamal makin ngegas makin lucu wkwkwk</t>
  </si>
  <si>
    <t>2026-04-13T12:51:52Z</t>
  </si>
  <si>
    <t>Setelah ter podhub podhub terbitlah ter bahlul bahlul😍😍🤪</t>
  </si>
  <si>
    <t>2026-04-14T02:21:17Z</t>
  </si>
  <si>
    <t>3 orang emosian 1 orang bewok 😂</t>
  </si>
  <si>
    <t>2026-04-13T23:06:22Z</t>
  </si>
  <si>
    <t>Dua bahlul ini saling mengisi.yg satu ngademin yg st emosi ...smg ttp akur ya kalian..
Jgn suka ada yg membanding bandingkan dan bicara kamal yg lucu .sahil suka bgilah bgt lah .smua ada tempat nya..</t>
  </si>
  <si>
    <t>2026-04-14T23:33:04Z</t>
  </si>
  <si>
    <t>Sumpahhh capekk x nonton ini dari mulai sampe habis ketawak ku ga berenti²😂😂</t>
  </si>
  <si>
    <t>2026-04-26T10:04:47Z</t>
  </si>
  <si>
    <t>gong banget di penutupnya 😂😂😂</t>
  </si>
  <si>
    <t>2026-04-13T12:09:08Z</t>
  </si>
  <si>
    <t>suka banget sama Kamal,, dia tau kapan wktunya bercanda dan kapan balik ke topik dakwah</t>
  </si>
  <si>
    <t>2026-03-24T04:24:51Z</t>
  </si>
  <si>
    <t>Mudah-mudahan sehabis ini Habib Jafar dan Duo Bahlul semakin sering disandingkan dalam berbagai program.
Jujur, aku suka lihat tektokan Habib dan Duo Bahlul.</t>
  </si>
  <si>
    <t>2026-03-20T10:17:43Z</t>
  </si>
  <si>
    <t>Si Kamal nih kemana aja yaa selama ini, kenapa bru keliatan skrng. Lucuuuu paraaah ni orang</t>
  </si>
  <si>
    <t>2026-03-22T12:23:35Z</t>
  </si>
  <si>
    <t>Saya Katolik. Saya duobahlul lovers. Sukses ya buat kalian. Saya doain karir Kamal semakin meroket🎉🎉Amin.</t>
  </si>
  <si>
    <t>2026-03-20T12:53:34Z</t>
  </si>
  <si>
    <t>Mudah mudahan Habib Husein segera di beri momongan 
Amiin</t>
  </si>
  <si>
    <t>2026-03-20T13:16:27Z</t>
  </si>
  <si>
    <t>BANG KAMAL GONG BANGETTTT 😂😂😂😂😂😂 PANJANG UMUR YE BANGGGGGG ❤❤😂</t>
  </si>
  <si>
    <t>2026-03-20T15:28:08Z</t>
  </si>
  <si>
    <t>2026 Tahun nya bang kamal sih , dlu prtma gustiwiw muncul di podcast gw lngsung ngefans sma dia tpi kdarullah umurny sampau, dan skrng kamal muncul gw jga lngsung fans sma die, keren lu bang, pnjang umur sehat bdan lo dan panjang karier lo</t>
  </si>
  <si>
    <t>2026-03-20T12:32:31Z</t>
  </si>
  <si>
    <t>Istrinya Sahil gak usah ikutan lg gpp kan ya 😊</t>
  </si>
  <si>
    <t>2026-03-27T07:42:25Z</t>
  </si>
  <si>
    <t>Dikirain udh selesai acaranya duo bahlul spesial ramadhan, ternyata masih ada lagi...
Lanjut terus ya acaranya meskipun udah tidak bulan puasa lagi....
Aku tunggu kelawakan kaliannn 😂</t>
  </si>
  <si>
    <t>2026-03-20T11:17:43Z</t>
  </si>
  <si>
    <t>Buat program bertiga dong.... Semoga yaaah bisa lanjut stlah lebaran.....</t>
  </si>
  <si>
    <t>2026-03-22T12:26:15Z</t>
  </si>
  <si>
    <t>kamal ini cepet banget punya bahan lawakan lucu x</t>
  </si>
  <si>
    <t>2026-04-02T15:16:26Z</t>
  </si>
  <si>
    <t>Ya allah bang kamal ko bisa si kocak mulu... Semoga duo bahlul makin sukses ya. Aamiin</t>
  </si>
  <si>
    <t>2026-03-20T12:28:25Z</t>
  </si>
  <si>
    <t>Log In (DC) dg Tretan &amp; Mamat  konsepnya Anti Klimaks. Habib Jafar tandem dg Duo Bahlul di ramadhan th depan kayaknya cocok utk kita jg belajar agama. 😊</t>
  </si>
  <si>
    <t>2026-03-20T11:44:01Z</t>
  </si>
  <si>
    <t>Ngakak bnget liat habib kaya ketakutan gitu menyingkir pas rania muncul 😂😂😂</t>
  </si>
  <si>
    <t>2026-03-20T14:14:29Z</t>
  </si>
  <si>
    <t>Di sini doang habib gasar geser kursi sendiri, gak sekali lagi wkwkwk</t>
  </si>
  <si>
    <t>2026-03-20T15:09:01Z</t>
  </si>
  <si>
    <t>Emang kacau si kamal,,, dar der dor banget di tiap Podcast</t>
  </si>
  <si>
    <t>2026-03-20T12:42:01Z</t>
  </si>
  <si>
    <t>SEPERTI KONTEN DUO BAHLUL BERSAMA HABIB JAFAR DI LANJUT MESKIPUN TDK DI BULAN RAMADHAN KRN BERKONTEN SAMBIL GUYON LBH MASUK UTK ORG" SEPERTI SY YG TDK BISA MENYIMAK KAJIAN YG TRLLU SERIUS. YG SE7 KOMEN DI SINI. 
JAZAKUMULLAAH DUO BAHLUL, KAL RANIA, HABIB JAFAR &amp; SEMUA BINTANG TAMU YG SELAMA RAMADHAN SDH MEMBERIKAN BNYK PENCERAHAN, SEHAT SLL UTK KALIAN &amp; SEMOGA KONTEN NYA JD AMAL JARIAH KELAK DI AKHIRAT. 
AAMIIN YAA RABBAL 'ALLAMIN 🙏🤗😘</t>
  </si>
  <si>
    <t>2026-03-20T18:08:42Z</t>
  </si>
  <si>
    <t>Bang Kamal lucuu banget. Kocakk sumvahh 😂😂😂 Rajin2 undang Habib ya season selanjutnya</t>
  </si>
  <si>
    <t>2026-03-20T11:49:22Z</t>
  </si>
  <si>
    <t>terima kasih buat Paranoice, udah ngeramein toko parfumnya Duo Bahlul, Mince mau ngucapin Minal Aidin walfaidzin, Mohon Maaf Lahir Batin, jangan marah2 ama mince ya, kalau jarang posting, mimince pasti kasih konten yg berkualitas, amiiin!</t>
  </si>
  <si>
    <t>2026-03-20T10:56:48Z</t>
  </si>
  <si>
    <t>Ninggalin jejak dulu, biar tau kalo ada channel youtube/podcast Yg bagus banget!!!
Habib Husein Jafar paling juara, bareng Duo Bahlul... Kamal layak sukses nih!!! ✨👍🏻</t>
  </si>
  <si>
    <t>2026-03-20T14:18:42Z</t>
  </si>
  <si>
    <t>Nonton ini cuma pgn liat n dengerin lucunya duo bahlulnya aja....🤭</t>
  </si>
  <si>
    <t>2026-03-18T13:53:25Z</t>
  </si>
  <si>
    <t>justru baim bagus pancinganny buat duo bahlil, jdinya seru jokesnya kekamal masuk. yg skip skip agak laen dh</t>
  </si>
  <si>
    <t>2026-03-18T22:08:54Z</t>
  </si>
  <si>
    <t>Ini mereka temenan udh lama..
Masih ada aja yg baper netizen blo'om😂😂</t>
  </si>
  <si>
    <t>2026-03-22T10:16:29Z</t>
  </si>
  <si>
    <t>KERJA banget ini sahil sama kamal hahaha..</t>
  </si>
  <si>
    <t>2026-03-18T12:21:49Z</t>
  </si>
  <si>
    <t>Baim wong emang tanggung jawab dengan sesuatu apa yang dikerjakan 1000% fokus dengan kerjaannya</t>
  </si>
  <si>
    <t>2026-04-27T00:27:13Z</t>
  </si>
  <si>
    <t>Ini contoh bapak yang mencontohkan tentang adab sopan santun dan cara berbicara hadapan mata dengan lawan bicaranya dan tidak terlalu sering main ipad</t>
  </si>
  <si>
    <t>2026-04-27T00:39:18Z</t>
  </si>
  <si>
    <t>Duo bahlul buat happy terus, Si baim krg bsa di ajak becanda wkwkwkwkw., bwcandain orng mau dibecandain mukanya langsung tegang wkwkwkw</t>
  </si>
  <si>
    <t>2026-03-30T03:49:09Z</t>
  </si>
  <si>
    <t>Bang Baim kalo selow gitu, jadi inget akting beliau di JAKARTA UNDER COVER</t>
  </si>
  <si>
    <t>2026-03-18T15:47:16Z</t>
  </si>
  <si>
    <t>Apresiasi buat Baim karena melibatkan aktor down syndrome 🎉</t>
  </si>
  <si>
    <t>2026-03-18T23:35:12Z</t>
  </si>
  <si>
    <t>fajar sad boy plisss</t>
  </si>
  <si>
    <t>2026-03-18T11:54:46Z</t>
  </si>
  <si>
    <t>Skip bgt males, capel dengerin😅😂tamu ini</t>
  </si>
  <si>
    <t>2026-03-18T12:24:30Z</t>
  </si>
  <si>
    <t>Dapat bintang tamu si NPD, salut duo bahlul extra effort gimana caranya agar ngga boring. Ngundang umi quarry atau dikta atau dicky komika malah bikin segeer suasana😅</t>
  </si>
  <si>
    <t>2026-03-22T06:08:40Z</t>
  </si>
  <si>
    <t>Satu aja gagal 😂😂😂</t>
  </si>
  <si>
    <t>2026-03-18T11:54:50Z</t>
  </si>
  <si>
    <t>Asik ada baim</t>
  </si>
  <si>
    <t>2026-03-18T14:01:37Z</t>
  </si>
  <si>
    <t>Maaf, untuk editor terhormat 🙏, kayaknya color grading yang fokus ke duo bahlul terlalu cold warnanya</t>
  </si>
  <si>
    <t>2026-03-18T11:03:00Z</t>
  </si>
  <si>
    <t>Baim kereeen.... 👏👏👏👏👏</t>
  </si>
  <si>
    <t>2026-04-12T06:08:28Z</t>
  </si>
  <si>
    <t>Gue akuin semakin hari akmal sama sahil semakin profesional sama job ini, se ga asik itu bintang tamunya tetep ada celetukan celetukan yang gerrrr 😂 ga salah kalo soleh solihun bilang kalian dua host/penyiar potensial di taun ini</t>
  </si>
  <si>
    <t>2026-03-19T05:38:11Z</t>
  </si>
  <si>
    <t>Memang klo org sdh ngak suka yaa segala apaa aja salaah.
Tp seru aja. Org kan beda² yaa serunya. Kayaknya mereka sdh lama kenal jd udh ngerti masing² karakter..
Saya sih biasa aja sm Baim. Dan kita liat karya nya aja film nya bagus²❤❤❤</t>
  </si>
  <si>
    <t>2026-03-25T00:07:49Z</t>
  </si>
  <si>
    <t>Skap skip skap skip, nonton duo bahlul koq based on bintang tamunya?!
Cek tensi dah, mana tau busuk ati ato darah tinggi😂😂😂</t>
  </si>
  <si>
    <t>2026-03-18T20:20:06Z</t>
  </si>
  <si>
    <t>iya ngomongnya nyeret wkwkwkwkwk</t>
  </si>
  <si>
    <t>2026-03-18T12:12:01Z</t>
  </si>
  <si>
    <t>Eca ama kamal cocok nih jadi host lucuu bet. 😂</t>
  </si>
  <si>
    <t>2026-03-16T15:34:38Z</t>
  </si>
  <si>
    <t>Eca mmg cocok tektokan dengan bapak2 pemarah</t>
  </si>
  <si>
    <t>2026-03-16T21:47:44Z</t>
  </si>
  <si>
    <t>Nah ini baru Eca..😂
Duo bahlul pinter mancingnya</t>
  </si>
  <si>
    <t>2026-03-17T02:54:10Z</t>
  </si>
  <si>
    <t>Ngikutin perjalanan Eca dari jaman Talkpod sampe sekarang, keliatan udah makin dewasa tapi makin fresh dengan rambut pendeknya. Seru banget sih "keributan" Eca vs Kamal ini, mungkin karena Eca udah berpengalaman menghadapi om om tukang marah marah yaa 😂</t>
  </si>
  <si>
    <t>2026-03-17T10:08:02Z</t>
  </si>
  <si>
    <t>Lucu banget asli, ngakak terus 🤣🤣
Eca tuh akhir2 ini ada beberapa kali jadi bintang tamu podcast, tapi kayaknya di podcast ini yang paling masuk komedinya sama dia..  gak kaku dan bisa muncul lagi versi Eca yang lucu kayak dulu.. seneng nontonnya 🥹🫶🏻
Kamal &amp; Eca vibesnya mirip Surya &amp; Eca wkwkwk kek abang adek yang ribut mulu 😭🤣</t>
  </si>
  <si>
    <t>2026-03-16T15:56:44Z</t>
  </si>
  <si>
    <t>Kamal, Fenomena baru di peryutuban Indonesia</t>
  </si>
  <si>
    <t>2026-03-23T12:59:59Z</t>
  </si>
  <si>
    <t>Kamal kayaknya bisa juga nih dipartner sama Echa... Luvuuu ❤</t>
  </si>
  <si>
    <t>2026-03-17T01:48:24Z</t>
  </si>
  <si>
    <t>bagus eca di sini.. kek versi nya yg dulu... lebih asik lebih santai jugak.. lucu nya saik...😁😁😁..</t>
  </si>
  <si>
    <t>2026-03-17T00:48:02Z</t>
  </si>
  <si>
    <t>eca hampir kembali seperti dulu, agak lepas candaan-nya, diposcast lain lebih hati2 ngomongnya</t>
  </si>
  <si>
    <t>2026-03-16T16:30:13Z</t>
  </si>
  <si>
    <t>ahhhh kangen Eca Selepas ini😻😻😻</t>
  </si>
  <si>
    <t>2026-03-16T21:06:40Z</t>
  </si>
  <si>
    <t>Podcast yg membuat eca kembali menjadi dirinya di dunia entertaint yg kt om suryanya, jadi apa adanya,  cerdas dan menghibur, nggak usah mikir org2 yg nyinyir krn otak mereka itu iri dengki..</t>
  </si>
  <si>
    <t>2026-03-17T16:37:44Z</t>
  </si>
  <si>
    <t>eca lucu, jgn tinggalin dunia komedi. tetap nyanyi boleh. menghibur bgt.</t>
  </si>
  <si>
    <t>2026-03-17T00:54:22Z</t>
  </si>
  <si>
    <t>Makasih duo bahlul... Karna Kalian udah balikin Eca ku yg dulu....</t>
  </si>
  <si>
    <t>2026-03-17T10:42:30Z</t>
  </si>
  <si>
    <t>KANGENNN BANGET SAMA ECAAAAAAAA THANX DUO BAHLULL</t>
  </si>
  <si>
    <t>2026-03-16T15:48:58Z</t>
  </si>
  <si>
    <t>Sering2 eca sama kamal, seru bgt😂</t>
  </si>
  <si>
    <t>2026-03-16T11:58:29Z</t>
  </si>
  <si>
    <t>kamal eca disatuin perfect combo hahahaha</t>
  </si>
  <si>
    <t>2026-03-16T14:05:42Z</t>
  </si>
  <si>
    <t>Dari awal sampe akhir gw ketawa mulu , seru banget 🤣. Si Eca pinter banget ngimbangin lawakan host-host nya , top banget seru 🥰</t>
  </si>
  <si>
    <t>2026-03-16T13:19:52Z</t>
  </si>
  <si>
    <t>Ecaaa, aku suka kamu yang podcast begini 🥰</t>
  </si>
  <si>
    <t>2026-03-17T04:11:09Z</t>
  </si>
  <si>
    <t>kalo ada Eca, baru aku tap like. Eca lucunya natural, suwit, very lovable</t>
  </si>
  <si>
    <t>2026-03-17T19:08:09Z</t>
  </si>
  <si>
    <t>Keren duo bahlul Sama eca, menghibur gak berasa gw Tonton Dari awal sampe habis sejam, no skip</t>
  </si>
  <si>
    <t>2026-03-16T18:26:11Z</t>
  </si>
  <si>
    <t>Pertama please pin 🎉</t>
  </si>
  <si>
    <t>2026-03-13T10:39:23Z</t>
  </si>
  <si>
    <t>3 podcast favorit 
-Nonton Ngobrol di WA karena Skill Presenter Andika yg luar biasa ngulik
-Nonton grindboys karena cerita2 bangkenya Gofar Cs
-Nonton Duo Bahlul Karena mulut bangkenya si Kamal 😂😂😂</t>
  </si>
  <si>
    <t>2026-03-16T17:17:04Z</t>
  </si>
  <si>
    <t>Bang kamal renop rumahnya cepet kelar ya bang. Banyak rejekinya aamiin</t>
  </si>
  <si>
    <t>2026-03-14T03:25:23Z</t>
  </si>
  <si>
    <t>Kamal on fire nih tahun ini, tp itu jg krn ada sahil. Mrk berdua tuh klop bgt, saling melengkapi. Terus bersama ya duo bahlul. 😊</t>
  </si>
  <si>
    <t>2026-03-31T00:02:03Z</t>
  </si>
  <si>
    <t>Smenjak ketemu chanel duo bahlul,mau makan,tidur,nyantai atw apapun itu pokoknya hruss nnton podcastnya.. mood booster 😂😂😂</t>
  </si>
  <si>
    <t>2026-04-17T08:07:14Z</t>
  </si>
  <si>
    <t>Setiap hari nungguin 2 bahlul di podcast manapun 😊</t>
  </si>
  <si>
    <t>2026-03-13T11:36:29Z</t>
  </si>
  <si>
    <t>Sekarang malah suka banget nonton podcast bahlul ditambah kemaren sampe beli khongguan jugaaa🫵😭</t>
  </si>
  <si>
    <t>2026-03-13T17:21:47Z</t>
  </si>
  <si>
    <t>Rania dari episode Gofar bikin suasana awkward ya. Mungkin memang gimmick-nya galak dan ngomelin Sahil terus, dan gapapa buat circle mereka yang udah paham dinamika keduanya kalau di konten kayak gitu. Tapi kalau dipaparkan ke bintang tamu, jadinya krik krik dan awkward, gak enak aja melihat Sahil digencet segitunya sama istri sendiri wkwk.</t>
  </si>
  <si>
    <t>2026-03-13T11:51:03Z</t>
  </si>
  <si>
    <t>Kamal pemilik algoritma 🎉😂</t>
  </si>
  <si>
    <t>2026-03-13T15:56:23Z</t>
  </si>
  <si>
    <t>Ya Allah kocaaakkk.... Gemes bued dah nungguin jawaban Pak Pres nyebutin rukun islam.. 🤣🤣🤣🤣🤣</t>
  </si>
  <si>
    <t>2026-03-14T05:12:06Z</t>
  </si>
  <si>
    <t>Kocak banget episode kali ini, 😅😅😅😂 pak adjis sama kamal darderdorrr wkwkwk 🤣</t>
  </si>
  <si>
    <t>2026-03-17T05:43:55Z</t>
  </si>
  <si>
    <t>Penataannya kurang enak jujur klo lg ada kak rania, better kak rania samping suaminya. Mnrtku bakal lebih leluasa aja misal mau bercanda2 gtu. Mnrtku yaaaa, no offense</t>
  </si>
  <si>
    <t>2026-03-14T06:03:20Z</t>
  </si>
  <si>
    <t>Ramadan 2026 tahun nya Kamal 🎉🎉🎉🎉🎉</t>
  </si>
  <si>
    <t>2026-03-13T11:15:02Z</t>
  </si>
  <si>
    <t>51:02 "die hari ini Udeh 3x baca itu" anjirrr ngakak gue 🤣🤣🤣</t>
  </si>
  <si>
    <t>2026-03-14T12:12:13Z</t>
  </si>
  <si>
    <t>Ada gaksi episode yang garing dari 2 bahlul ini. Kocakkkk trus dah heran gw❤❤❤</t>
  </si>
  <si>
    <t>2026-03-14T06:55:48Z</t>
  </si>
  <si>
    <t>Kamal ini mirip iga massardi😂kocaknya juga, bisa kali undang iga massardi</t>
  </si>
  <si>
    <t>2026-03-14T04:45:43Z</t>
  </si>
  <si>
    <t>3:35😂😂😂pecah bgt si</t>
  </si>
  <si>
    <t>2026-03-14T09:50:19Z</t>
  </si>
  <si>
    <t>Kamal makin lama makin lawak 😂😂</t>
  </si>
  <si>
    <t>2026-03-13T10:47:29Z</t>
  </si>
  <si>
    <t>I love you Kamaaaall🥰😘🤩😍</t>
  </si>
  <si>
    <t>2026-03-13T10:55:39Z</t>
  </si>
  <si>
    <t>Vibes nya kaya dengerin gaduh Martin ngomong suaranya bang Ajis doa ibu🤣🤣</t>
  </si>
  <si>
    <t>2026-03-25T08:30:26Z</t>
  </si>
  <si>
    <t>iziin min untuk kebaikan channelny, bu rania cukup buat anter mkan dan minum jgn lebih.. 🙏</t>
  </si>
  <si>
    <t>2026-04-10T01:11:21Z</t>
  </si>
  <si>
    <t>maaf bgt izin saran, kalau bisa kak rania dibikin gimmic anter makanan aja, nanya makanan apa abis itu udh siapin ke belakang, kalau berdialog udah cocoknya sama suaminya, mau gimmic berantem atau ngatainpun ga masalah, di konten emang polanya gitu kan. kalo disini aga kurang pas, karna disini kan celetukan langsung yah, aga kurang masuk. dekdekan dengernya 🫣</t>
  </si>
  <si>
    <t>2026-04-27T17:36:51Z</t>
  </si>
  <si>
    <t>kamal underrated banget,pdhl celetukanny ngena,,mudah2an 2026 jadi tahun kamal</t>
  </si>
  <si>
    <t>2026-03-30T16:47:18Z</t>
  </si>
  <si>
    <t>Rania terlalu mentah karakternya .. bikin podcast gak nyaman di lihat .. nada suaranya jg ketinggian annoying jatuhnya</t>
  </si>
  <si>
    <t>2026-05-06T11:15:29Z</t>
  </si>
  <si>
    <t>yono lucu banget sumpahhhhhh.. semoga nama lu makin semerbak ya yon!</t>
  </si>
  <si>
    <t>2026-03-30T16:41:51Z</t>
  </si>
  <si>
    <t>Pengen banget tamu DUO BAHLUL nih PAK MUH nya FADIL JAIDI, semoga dapet privilege untuk mau diajak podkes santai begini</t>
  </si>
  <si>
    <t>2026-03-11T16:03:13Z</t>
  </si>
  <si>
    <t>Sahil terlihat kagum sekali sama suyono di episode ini</t>
  </si>
  <si>
    <t>2026-03-11T16:59:02Z</t>
  </si>
  <si>
    <t>kaget bgt openingnya bener bener nyerang fisi mulu. kurang kurangin lah, udah 2026.</t>
  </si>
  <si>
    <t>2026-04-04T00:41:06Z</t>
  </si>
  <si>
    <t>Keren sih yono, udh berdamai dgn takdir dirinya.. kekurangannya saat ini bisa ia jadikan penghasilannya 👍👍👍 dgn pnh tawa</t>
  </si>
  <si>
    <t>2026-04-10T08:55:15Z</t>
  </si>
  <si>
    <t>tanpa kamal podcats ini hambar..</t>
  </si>
  <si>
    <t>2026-03-16T20:57:22Z</t>
  </si>
  <si>
    <t>Cuma Yono yang bikin 2 bahlul ini terkagum2 biasanya emosian 😂😂</t>
  </si>
  <si>
    <t>2026-03-14T07:03:43Z</t>
  </si>
  <si>
    <t>Kamal dengan yono lebih banyak ketawanya😂</t>
  </si>
  <si>
    <t>2026-03-22T04:57:49Z</t>
  </si>
  <si>
    <t>Ngakak w sama si kamal,cuma matinya sama dr tirta doang dia😂😂😂😂😂</t>
  </si>
  <si>
    <t>2026-04-03T06:58:10Z</t>
  </si>
  <si>
    <t>kamaaaaallll ,,,,gara gara eluu
gua myariin swriap tayangan yutub yg ada elunya😁😁😁 gokil lucu sukses bikin saya ketawa terus</t>
  </si>
  <si>
    <t>2026-03-17T23:36:14Z</t>
  </si>
  <si>
    <t>Peraih piala citra tahun ini: Kamal</t>
  </si>
  <si>
    <t>2026-03-30T14:29:58Z</t>
  </si>
  <si>
    <t>Kalo diperhatikan secara detail pas yono membaca doa selamat itu makhorihul hurufnya bener semua, penyebutan hurufnya sesuai dgn kaidah, mungkin bisa jadi dia emang anak pondok dulunya</t>
  </si>
  <si>
    <t>2026-03-20T11:41:33Z</t>
  </si>
  <si>
    <t>"Masya Allah, tersentuh hati mendengar cerita Yono yang membimbing isterinya memeluk Islam. Ini adalah satu nikmat dan tanggungjawab yang besar. Sebagaimana firman Allah SWT:
يَهْدِي اللَّهُ لِنُورِهِ مَنْ يَشَاءُ
“Allah membimbing sesiapa yang dikehendaki-Nya kepada cahaya-Nya (agama Islam).” (QS. An-Nur: 35).
Semoga Yono dan isteri terus istiqamah, menjadi keluarga sakinah, mawaddah, wa rahmah. Usaha membawa seseorang mengenal Islam itu pahalanya luar biasa!"</t>
  </si>
  <si>
    <t>2026-04-16T00:58:55Z</t>
  </si>
  <si>
    <t>Obrolan yono sangat penuh inspirasi buat gw harus manifiest ditulis buku apa yang akan impian kita dengan sholat dan berdoa kepada Alloh SWT</t>
  </si>
  <si>
    <t>2026-04-25T21:23:11Z</t>
  </si>
  <si>
    <t>Yono girang lihat pasutri bertengkar. 😅</t>
  </si>
  <si>
    <t>2026-03-12T13:43:24Z</t>
  </si>
  <si>
    <t>Dr yg ditonton, ini yg paling LuCu, RPM Rapat.. dan bahasannya berisi, daging semua 😅</t>
  </si>
  <si>
    <t>2026-04-12T03:25:48Z</t>
  </si>
  <si>
    <t>Aku kesini Krena lwt fyp di tiktok,.. ketawa ku lepas bngettt.  🤣🤣🤣</t>
  </si>
  <si>
    <t>2026-03-11T13:35:02Z</t>
  </si>
  <si>
    <t>ummi sama mereka berdua cocok banget dah lawakannya😂</t>
  </si>
  <si>
    <t>2026-03-09T11:33:41Z</t>
  </si>
  <si>
    <t>Sini kumpul para bungsu yang tidak merasakan masa jaya orang tua ketika kita dewasa. 😌</t>
  </si>
  <si>
    <t>2026-03-12T21:34:07Z</t>
  </si>
  <si>
    <t>lucu ni bang kamal sama umi klo ketemu, pecahhhhh bangettt</t>
  </si>
  <si>
    <t>2026-03-11T03:35:52Z</t>
  </si>
  <si>
    <t>umiii aku bgtt, aku anak bungsu dari 8 saudar dan aku cewek stu"nyaa. dan aku bertahun" ngurusin mamah yg sakit. dan sekrg ema udh g sakit lagii doain ya gess mama aku tenang disana. dan thn ini thn pertama tanpa mama😢</t>
  </si>
  <si>
    <t>2026-03-10T11:06:43Z</t>
  </si>
  <si>
    <t>Kamal, ummy sama dokter tirta kalau di gabungin pecah bgt pasti 😅</t>
  </si>
  <si>
    <t>2026-03-10T17:17:12Z</t>
  </si>
  <si>
    <t>ummy kalo ngobrolin orang tua gapernah gagal bikin nangis 😢</t>
  </si>
  <si>
    <t>2026-03-09T12:44:55Z</t>
  </si>
  <si>
    <t>Gara2 liat cuplikan pendek2 ny lewat beranda saya..jadi mampir kesini...GRRRRRRRRRRRRRRR nya luar biasa..dari awal sampai akhir GRRRRRR nya gak putus2...kolab yg luar biasa</t>
  </si>
  <si>
    <t>2026-03-14T19:03:07Z</t>
  </si>
  <si>
    <t>knapa ya kok sekarang seneng banget liat yg ada kamalnya</t>
  </si>
  <si>
    <t>2026-03-09T11:37:06Z</t>
  </si>
  <si>
    <t>gila umi salut gue, pantes gapernah redup dia, karna junjung ibunya bgt❤</t>
  </si>
  <si>
    <t>2026-03-13T12:04:01Z</t>
  </si>
  <si>
    <t>EPISODE TERNGAKAAAKKKKKKKKKK, AAAAHHHH LUCUNYAAA LUCU BANGETTTTT 😂😂😂😂😂😂😂😂 kek nongkrongggggggg woyyyy</t>
  </si>
  <si>
    <t>2026-03-09T12:10:46Z</t>
  </si>
  <si>
    <t>Gak berasa nonton nya tau2 usah sejam aja😂😅🤣 ada lawak nya, ada flirting nya,ada sedih..lengkap deh..cocok nte ber 4</t>
  </si>
  <si>
    <t>2026-03-10T15:57:29Z</t>
  </si>
  <si>
    <t>Umi itu humble kemana aja masuk becandaannya asik 👍😂</t>
  </si>
  <si>
    <t>2026-03-12T07:38:51Z</t>
  </si>
  <si>
    <t>Dari awal sampai akhir ngakak terus😂 cuma sedih pas umi nyeritain keluarga nya. Sehat2 kalian</t>
  </si>
  <si>
    <t>2026-03-12T21:20:42Z</t>
  </si>
  <si>
    <t>Rania langsung kicep pas di tegur suaminya 😂😂 dalem hati gimana sih konsepnya ini mau serius apa bercandaa 😂😂</t>
  </si>
  <si>
    <t>2026-05-06T01:52:29Z</t>
  </si>
  <si>
    <t>Kyaknya enak banget curhat sama bang kamal, pasti banyak petuah² yg bisa diambil 🥺🥹</t>
  </si>
  <si>
    <t>2026-05-21T16:03:47Z</t>
  </si>
  <si>
    <t>26:50  undang dava pliis sma ummi lagi bakal pecahhh</t>
  </si>
  <si>
    <t>2026-03-10T22:14:30Z</t>
  </si>
  <si>
    <t>bener2 si umi ama bang kamal dah ah ahahahaa</t>
  </si>
  <si>
    <t>2026-03-09T11:03:05Z</t>
  </si>
  <si>
    <t>Komplit bgt dari yg lucu sampai ke yg sedih ada🥺</t>
  </si>
  <si>
    <t>2026-03-09T12:49:42Z</t>
  </si>
  <si>
    <t>GAKUATTTTT SAMA UMMI QUARY PETCHAAAAH BANGETTT!!! UNDANG USTAD FELIX SIAW DONGGGGGG ABIS GINIIII</t>
  </si>
  <si>
    <t>2026-03-09T10:49:48Z</t>
  </si>
  <si>
    <t>Ramadhan tahun depan harus bikin program tersendiri sih Habib Husein sama duo Bahlul, pertanyaannya genuin dan lucunya lebih gerr jujur 😂</t>
  </si>
  <si>
    <t>2026-03-06T20:37:02Z</t>
  </si>
  <si>
    <t>Mudah"an Bang Kamal tahun ini banyak dinotice orang yaaa, banyak job. krn lucu banget woyyyyy :))))))))))</t>
  </si>
  <si>
    <t>2026-03-13T01:22:20Z</t>
  </si>
  <si>
    <t>Ayo dukung duo bahlul jadi co host login tahun depan..makasih duo bahlul udah bikin saya ketawa lagi.</t>
  </si>
  <si>
    <t>2026-03-07T01:47:45Z</t>
  </si>
  <si>
    <t>Asli pecah banget sih, bahas ilmunya dapet guyonan nya juga dapet jadi durasi selama satu jam itu gak ngebosenin sama sekali, jadi kesannya agama tidak se ekstrim ituu dan Allah Maha Penyayang bnget terhadap hambaNya 
Sering2lah kolaborasi seperti ini, asyik banget asliii</t>
  </si>
  <si>
    <t>2026-03-09T07:25:11Z</t>
  </si>
  <si>
    <t>Semoga co host login tahun depan mereka berdua, seru 😂😂😂</t>
  </si>
  <si>
    <t>2026-03-06T11:25:22Z</t>
  </si>
  <si>
    <t>Tolong Noise perbanyak konten beliau bertiga, lucu tapi ada isinya juga hahah</t>
  </si>
  <si>
    <t>2026-03-06T13:16:45Z</t>
  </si>
  <si>
    <t>Senang banget liat Habib Jafar bikin konten bareng Duo Bahlul.
Habib kayak lepas aja gitu.
Mungkin karena bareng kaumnya sendiri 😂</t>
  </si>
  <si>
    <t>2026-03-14T10:47:27Z</t>
  </si>
  <si>
    <t>Duo bahlul feat Habib Ja'far klop banget, walaupun omongan Bib Ja'far kadang dipotong tp tetap menghargai Ulama dan joke²nya dibarengi dengan ilmu serta tidak dipatahkan jokesnya</t>
  </si>
  <si>
    <t>2026-03-06T18:25:54Z</t>
  </si>
  <si>
    <t>Lebih seneng nonton habib di sini 😂😂 ngakak trs</t>
  </si>
  <si>
    <t>2026-03-06T11:17:34Z</t>
  </si>
  <si>
    <t>KAMAL LUCU BANGETTTT 😂😂😂😂 NI PODCAST TERLUCU SETELAH YT FADIL JAIDI 😂😂 
Jadi gak bingung lagi kalau ke youtube mau nonton apaan 😂😂❤</t>
  </si>
  <si>
    <t>2026-03-06T13:31:22Z</t>
  </si>
  <si>
    <t>sumpah gue kek fans sasaeng idol dimana aja ada duo bahlul gue ada 😭😂</t>
  </si>
  <si>
    <t>2026-03-14T11:33:24Z</t>
  </si>
  <si>
    <t>jujur lebih seru ini daripada login season ini bib🙏</t>
  </si>
  <si>
    <t>2026-03-07T18:53:11Z</t>
  </si>
  <si>
    <t>klo mau nolong org jualan dijalan tp takut tersinggung, tetap beli aja tp nanti barangnya dikasihkan org klo kita ga perlu, sm dgn wkt ada bagi takjil gratis dijalan, tetap ditrima agar yg nagikan senang, tp agak jauh diberikan org yg lg dijalan juga.</t>
  </si>
  <si>
    <t>2026-03-06T13:36:19Z</t>
  </si>
  <si>
    <t>Tiap hari tamunya habib boleh gak siiih🤣</t>
  </si>
  <si>
    <t>2026-03-06T11:26:57Z</t>
  </si>
  <si>
    <t>cape bngt anjir ngakak 😭😭😭😭 ilmunya dapet komedinya dapet. ini yg di cari  sh🔥🔥🔥🔥</t>
  </si>
  <si>
    <t>2026-03-10T03:07:43Z</t>
  </si>
  <si>
    <t>Bisa nih jadi bintang tamu log in, sama2 habib sama2 Arab tapi tradisinya beda</t>
  </si>
  <si>
    <t>2026-03-07T06:44:57Z</t>
  </si>
  <si>
    <t>Formula paling cocok buat podcast bahlul ya gini. Tamunya org arab juga. Satu frekuensi.</t>
  </si>
  <si>
    <t>2026-03-06T15:42:40Z</t>
  </si>
  <si>
    <t>Gua gara2 podcast ini jd beli ukuran gede nya😂, biasanya beli yg kecil.. Ngiler lihat mereka mkn khong Guan mulu</t>
  </si>
  <si>
    <t>2026-03-06T11:26:46Z</t>
  </si>
  <si>
    <t>Duo Bahlul feat Habib Ja'far, ya ampun kocak banget. Ilmunya dapat lucunya juga dapet. Apalagi di pembahasan cebok😂😂😂😂. Lucu kali ya Allah</t>
  </si>
  <si>
    <t>2026-03-10T09:40:12Z</t>
  </si>
  <si>
    <t>Serius ini mereka bertiga cocok bgt❤</t>
  </si>
  <si>
    <t>2026-03-06T20:50:32Z</t>
  </si>
  <si>
    <t>Harusnya durasi eps dr boyke panjangin sih 😂 atau datengin lagi!! Asli gk berasa bgt nntonnya, jokes sm edukasinya pas bgt gk lebay jd enak buat ditonton</t>
  </si>
  <si>
    <t>2026-04-15T14:58:02Z</t>
  </si>
  <si>
    <t>KAMAL RASYID Host terlucu saat ini 🤣🔥✔️</t>
  </si>
  <si>
    <t>2026-04-19T09:39:18Z</t>
  </si>
  <si>
    <t>Edisi dr.boyke Bestt dahh👍👍 statement yg terakhir bagus  dok, tentang Era anak sekarang, yg Uda melenceng dgn norma2 agama /hidup, dulu Serba Tau Malu, Sekarang😭 ??  soalnya gw juga seangkatan dr. boyke , jadi ikut Miris dgn norma hidup anak2 skr 🙏</t>
  </si>
  <si>
    <t>2026-04-24T13:15:15Z</t>
  </si>
  <si>
    <t>Semua hp yang kupinjam tak buat SC noice buat dapat liat dapat notif dari duo bahlul</t>
  </si>
  <si>
    <t>2026-03-26T06:52:00Z</t>
  </si>
  <si>
    <t>semoga dr Boyke selalu diberikan kesehatan dan umur yang panjang, agar bisa selalu mengedukasi kita semua.</t>
  </si>
  <si>
    <t>2026-03-04T23:57:29Z</t>
  </si>
  <si>
    <t>Tau podcast bahlul pas ada habib jafar. Dan sekarang hampir setiap hari nontonin teruss...
 Ternyata acaranya lucu dan menghibur banget buat saya yg lagi sakit..
Semoga acaranya panjang dan rame teruss penontonnya.</t>
  </si>
  <si>
    <t>2026-03-04T12:41:04Z</t>
  </si>
  <si>
    <t>Dr. Boyke mania
Kalau penonton alumni tns pasti tau nih🫣</t>
  </si>
  <si>
    <t>2026-03-04T22:08:25Z</t>
  </si>
  <si>
    <t>39:02 Sumpah kocak banget, sampe dr. Boyke nepok bang Kamal 🤣 saking asbunnya dy 😂😂</t>
  </si>
  <si>
    <t>2026-03-19T03:01:44Z</t>
  </si>
  <si>
    <t>marathon duo bahlul</t>
  </si>
  <si>
    <t>2026-03-05T18:04:25Z</t>
  </si>
  <si>
    <t>Saya oma"salah 1 penggemar loe bahlul br 2.
Saya dari pekanbaru riau❤❤❤❤❤❤❤</t>
  </si>
  <si>
    <t>2026-03-05T08:50:53Z</t>
  </si>
  <si>
    <t>Saran nih undang dokter2 ato ustad diperbanyak buat nambah pengetahuan jg kaya gini bagus bgt 😊</t>
  </si>
  <si>
    <t>2026-05-31T13:00:40Z</t>
  </si>
  <si>
    <t>Duo bahlul moodboster gue 😂</t>
  </si>
  <si>
    <t>2026-03-20T09:52:46Z</t>
  </si>
  <si>
    <t>lewat di tiktok potongannya gara gara si akmal lucu bgt. gw jd maraton wkwkw</t>
  </si>
  <si>
    <t>2026-03-15T06:41:21Z</t>
  </si>
  <si>
    <t>Dok awet muda terus ya, panjang umur🙏🙏🤲🤲</t>
  </si>
  <si>
    <t>2026-03-14T05:00:34Z</t>
  </si>
  <si>
    <t>dua bahlul aq jd ngefun sejak lihat di arisan,terus sm habib jafar yg bikin aq ngalsk awal sampe akhir terus sm umi ngakak terus sekarang sm dokter boyke kalian emang BEST KEREN❤❤❤</t>
  </si>
  <si>
    <t>2026-03-23T01:17:14Z</t>
  </si>
  <si>
    <t>❤❤❤ Alkhamdulilah Ada tontonan baru trimakasih buat kalian dah menghibur saya</t>
  </si>
  <si>
    <t>2026-03-20T07:54:34Z</t>
  </si>
  <si>
    <t>Saran aja kalo bisa rania duduknya jangan deketan dan di tengah antra laki"inikan,karna kalo kaya habib jafar bintang tamu nya,sefikit canggung kelihatan habibnya.karna jaga pandangan terus takut bersentuhan selain amuhrimny🙏</t>
  </si>
  <si>
    <t>2026-03-12T13:07:07Z</t>
  </si>
  <si>
    <t>Jadi tontonan favorit selama puasaaa asliiiii ❤❤❤❤</t>
  </si>
  <si>
    <t>2026-03-04T11:56:22Z</t>
  </si>
  <si>
    <t>Soal menikah,bukannya gamau menikah dok kan kita gimna lakinya juga. Doain ya  guys semoga pasanganku menyegerakan agar kita bisa menikah</t>
  </si>
  <si>
    <t>2026-05-02T14:10:12Z</t>
  </si>
  <si>
    <t>Suka banget sama dokter boyke, berwibawa, lucu dan cerdas</t>
  </si>
  <si>
    <t>2026-03-31T12:13:47Z</t>
  </si>
  <si>
    <t>Bintang tamu yang sangat ditunggu² oleh permirsah adalah pak Muh.agar  duo bahlul ini dapat pelajaran hidup. Yang setuju like</t>
  </si>
  <si>
    <t>2026-03-04T04:45:59Z</t>
  </si>
  <si>
    <t>Sederhana, ada Dany Beler langsung anteng nonton</t>
  </si>
  <si>
    <t>2026-03-02T12:23:11Z</t>
  </si>
  <si>
    <t>Dany Beler Salah Satu Komika Dengan Penulisan Terbaik</t>
  </si>
  <si>
    <t>2026-03-02T10:18:14Z</t>
  </si>
  <si>
    <t>Rania bisa tdk sih dekat suaminya aja, beberapa tamu seperti risih gitu, takut kena rania,.</t>
  </si>
  <si>
    <t>2026-03-17T20:59:59Z</t>
  </si>
  <si>
    <t>Underrated episode ini. Tek-tokan Kamal sama Beler bagus bgt 🤣👍</t>
  </si>
  <si>
    <t>2026-04-21T05:24:50Z</t>
  </si>
  <si>
    <t>agak risih  kenapa rania gak deket2 sahil aaja posisinya .. tolong dong pak / bu produser..</t>
  </si>
  <si>
    <t>2026-03-05T04:02:38Z</t>
  </si>
  <si>
    <t>tim yg nontonin semua podcast yg ada Kamal nya</t>
  </si>
  <si>
    <t>2026-05-03T15:22:21Z</t>
  </si>
  <si>
    <t>Kamal selalu dapet chemistrynya dengan semua bintang tamu. Selalu seru 😂👍</t>
  </si>
  <si>
    <t>2026-04-21T04:07:59Z</t>
  </si>
  <si>
    <t>KAMAL RASYID Host terlucu saat ini 🤣🔥✔️ Naikkin gajinya!!!</t>
  </si>
  <si>
    <t>2026-04-19T09:42:31Z</t>
  </si>
  <si>
    <t>Bang Kamal adabnya good buanggggetttttsssss🎉</t>
  </si>
  <si>
    <t>2026-03-17T03:04:55Z</t>
  </si>
  <si>
    <t>Rapet banget di 10 menit pertama 😂</t>
  </si>
  <si>
    <t>2026-03-02T15:20:22Z</t>
  </si>
  <si>
    <t>Ini bisa nggak Podcast Bahlul dibanyakin. Ini aku ampe Rewatch beberapa kali ini.</t>
  </si>
  <si>
    <t>2026-03-28T05:43:20Z</t>
  </si>
  <si>
    <t>Fuad naim terkenal lho… tanyain ustadz felix siaw</t>
  </si>
  <si>
    <t>2026-03-02T11:48:20Z</t>
  </si>
  <si>
    <t>"Lu kan tau gua"
Khas bgt Dany Beler kek biasa di Saling semprot.</t>
  </si>
  <si>
    <t>2026-03-02T12:51:31Z</t>
  </si>
  <si>
    <t>nggak ada kong huan, bentar lagi nissin 😊😊</t>
  </si>
  <si>
    <t>2026-03-02T13:34:42Z</t>
  </si>
  <si>
    <t>Podcast pilihan bt nemenin makan sama masak JD rame 😅😅</t>
  </si>
  <si>
    <t>2026-05-29T04:48:08Z</t>
  </si>
  <si>
    <t>Definisi berkah itu segala sesuatu yg mendekat kan diri kepada Allah</t>
  </si>
  <si>
    <t>2026-05-15T01:34:50Z</t>
  </si>
  <si>
    <t>Tau kamal sudah dari dulu di channel fix production, #lo jakarta banget</t>
  </si>
  <si>
    <t>2026-03-24T08:20:36Z</t>
  </si>
  <si>
    <t>Cepet bgt tektokannya</t>
  </si>
  <si>
    <t>2026-03-19T06:29:46Z</t>
  </si>
  <si>
    <t>Buset libur 2 hari lama bgt nungguiinnya</t>
  </si>
  <si>
    <t>2026-03-02T11:26:03Z</t>
  </si>
  <si>
    <t>Plisss trio ini lanjut, ilmunya dapet, ngakaknya dapet. Haha</t>
  </si>
  <si>
    <t>2026-02-27T18:22:47Z</t>
  </si>
  <si>
    <t>Dari semua konten yang ada Habib Jafar tahun ini, ini yang paling klop. Mungkin karena satu Ras ya jadi jatohny kek ngobrol ama sepupu 😂</t>
  </si>
  <si>
    <t>2026-02-27T20:46:12Z</t>
  </si>
  <si>
    <t>Keselnya Kamal sama orang yang fotonya ada di kabinet nembus layar 😂</t>
  </si>
  <si>
    <t>2026-04-07T14:21:38Z</t>
  </si>
  <si>
    <t>bikinin mereka ber3 program pleaseeeeeee! disini habib lepas banget😭</t>
  </si>
  <si>
    <t>2026-02-28T10:36:02Z</t>
  </si>
  <si>
    <t>1:09:13 bergetar hati ini mendengarnya.
allahumma shalli 'ala muhammad 🥲</t>
  </si>
  <si>
    <t>2026-02-28T09:44:55Z</t>
  </si>
  <si>
    <t>Sering" kalian bertiga kumpul.. Seruuu bgt 😊❤
Pas denger cerita Nabi Muhammad ga kerasa netes air mata. Ternyata Sahil juga sama.. Gatau kenapa kalo denger cerita Nabi Muhammad tau" nangis. Pengen banget ketemu beliau,Manusia paling mulia,paling sabar,paling baik😢❤❤</t>
  </si>
  <si>
    <t>2026-02-28T02:59:07Z</t>
  </si>
  <si>
    <t>"Doa harus muncul dari hati, bukan dari nafsu". Berasa ditoyor nih saya 😅</t>
  </si>
  <si>
    <t>2026-03-26T03:54:19Z</t>
  </si>
  <si>
    <t>1:11:33 Sahil sampe segitunya nahan nangis... Aku sendiri mewek denger cerita Habib😢... Makin cinta pada Rasulullah ❤❤❤ Allahuma solli ala sayyidina Muhammad</t>
  </si>
  <si>
    <t>2026-04-13T04:27:28Z</t>
  </si>
  <si>
    <t>Sumpah ya bang kamal kocak bgt, ga usaha ngelucu aja tuh lucu dia</t>
  </si>
  <si>
    <t>2026-02-28T04:17:44Z</t>
  </si>
  <si>
    <t>oh pantes pas di podcast sebelumnya si sahil ngotot pengen cium tangan habib jafar karna menyentuh org baik aja biasa jadi perantara doa, masha Allah.
pas di cerita tentang nabi  Muhammad SAW, bener2 netes air mata sesedih itu sambil ngebayangin bisa nggk ya org seberdosa aku ketemu beliau nanti di akhirat.</t>
  </si>
  <si>
    <t>2026-04-23T14:29:42Z</t>
  </si>
  <si>
    <t>Please banyakin episode sama habib jafar cocok banget mereka 😅😅😅</t>
  </si>
  <si>
    <t>2026-02-27T16:56:00Z</t>
  </si>
  <si>
    <t>1:11:45 ikut nangis jg ga berasa air mata udh ngalir sendiri 
allahumma sholiAlla sayyidina Muhammad</t>
  </si>
  <si>
    <t>2026-03-12T07:36:17Z</t>
  </si>
  <si>
    <t>Undang Pak Muh &amp; Fadil Jaidi, pas ada Habib Ja'far gini asyiikk keknyaa</t>
  </si>
  <si>
    <t>2026-02-28T11:36:15Z</t>
  </si>
  <si>
    <t>Saya nonis suka bgt topik kali ini, Krn kena juga di saya tentang cara berdoa, knp doa blm dijawab Tuhan . Trimakasih</t>
  </si>
  <si>
    <t>2026-02-28T10:24:26Z</t>
  </si>
  <si>
    <t>Perasaan ku lngsung kya sahil pas habib cerita tentang nabi😢</t>
  </si>
  <si>
    <t>2026-02-28T04:18:16Z</t>
  </si>
  <si>
    <t>Terima kasih noice, telah menghadirkan acara ini. The best podcast agama sejauh ini, komedinya dapet, ilmunya padet, bahkan saya (dan sahil) nangis saat cerita part memeluk Nabi.
Saya harap acara duo bahlul harus tetap ada dan lebih banyak lagi</t>
  </si>
  <si>
    <t>2026-02-28T06:01:44Z</t>
  </si>
  <si>
    <t>Fotonya ada di kabinet... wkwkwk
Hajar bang, gausah lu sapu, kita di pihak eluuu</t>
  </si>
  <si>
    <t>2026-03-21T17:56:16Z</t>
  </si>
  <si>
    <t>Asik bgt tek-tok nya Lepas bgt Habib disini,, RPM nya padat kenceng dari awal sampe akhir,, mgkn krn sesama turunan Arab ya jokesnya berimbang dan saling faham,, KLOP bgt... Lanjut trus Beib Ceramah dan Canda, Canda Berceramah. Pantes bgt jadi Habib Industri.</t>
  </si>
  <si>
    <t>2026-02-28T08:00:39Z</t>
  </si>
  <si>
    <t>Kamal ini persis mirip desta versi arab😂</t>
  </si>
  <si>
    <t>2026-02-28T08:01:09Z</t>
  </si>
  <si>
    <t>Ya Allah kamal, rejekimu insya allah lancar, senang banget liat mereka ketawa ketiwi tpi tanpa sindiran satu sma lain, jdi ikut ketawa jga😂</t>
  </si>
  <si>
    <t>2026-04-21T10:28:53Z</t>
  </si>
  <si>
    <t>Ini mah jadinya trio bahlulll 😂😂😂</t>
  </si>
  <si>
    <t>2026-02-27T03:27:02Z</t>
  </si>
  <si>
    <t>lucu bgt personil blackpink ke-5</t>
  </si>
  <si>
    <t>2026-02-26T13:57:53Z</t>
  </si>
  <si>
    <t>Kok cocok ya bertiga, ngakak polll... 😂😂😂😂</t>
  </si>
  <si>
    <t>2026-02-26T13:11:10Z</t>
  </si>
  <si>
    <t>7:01 kalo di jawa memang ada materi pantun, tapi istilahnya parikan. Jadi pantun dalam bahasa jawa, ada juga paribasan, bebasan, sanepan salaka. Salah satu yang mungkin pernah kalian dengar ada di lagu ngamen "alise nanggal sepisan" terus ada drijine mucuk eri (jarinya lentik),</t>
  </si>
  <si>
    <t>2026-03-24T18:20:45Z</t>
  </si>
  <si>
    <t>Mas yusril sang pencerah</t>
  </si>
  <si>
    <t>2026-02-26T16:26:14Z</t>
  </si>
  <si>
    <t>Kamal ini kevin julio versi lucu nya. Jadiin film yg mreka kakak adik pasti seru nih</t>
  </si>
  <si>
    <t>2026-04-09T13:14:59Z</t>
  </si>
  <si>
    <t>Mereka ngobrol berdua aja lucu, apalagi ada tamu, lucunya dobel, itu menurut saya pribadi ye</t>
  </si>
  <si>
    <t>2026-03-28T12:07:09Z</t>
  </si>
  <si>
    <t>Ending yg kocak banget lagu dari mas yusrill, lahiran 90an pasti tau lagu itu plesetan dari lagu kucing garong..😂😂</t>
  </si>
  <si>
    <t>2026-02-26T11:56:48Z</t>
  </si>
  <si>
    <t>Meskipun banyak tawa, ini baru berisi</t>
  </si>
  <si>
    <t>2026-02-26T14:32:01Z</t>
  </si>
  <si>
    <t>Nama2 klaster ya😂😂 busyet dahhh kamal😂😂😂</t>
  </si>
  <si>
    <t>2026-04-06T08:29:01Z</t>
  </si>
  <si>
    <t>Ber-4 sama Hifdzi dooonng</t>
  </si>
  <si>
    <t>2026-02-28T02:21:04Z</t>
  </si>
  <si>
    <t>lawas bgt ni, closingnya.POKOK 
pacaran ora kawin ora kepenak</t>
  </si>
  <si>
    <t>2026-02-27T07:12:20Z</t>
  </si>
  <si>
    <t>Garis Keras Mandhan Kenthir chapter Catur Tunggal Depok Sleman hadir</t>
  </si>
  <si>
    <t>2026-03-05T00:11:40Z</t>
  </si>
  <si>
    <t>Asyik nih suara jelas sdh ga ada sound effec nya, uhuiiii</t>
  </si>
  <si>
    <t>2026-03-24T15:34:01Z</t>
  </si>
  <si>
    <t>dhe yusril ki lucu terus, cocok dadi sang komedian memang</t>
  </si>
  <si>
    <t>2026-02-27T05:36:07Z</t>
  </si>
  <si>
    <t>Kapanewon itu Kecamatan yakk, di Jogja kecamatan disebutnya Kapanewon (kalo di Kabupaten) dan Kemantren (kalo di Kota). 
Trus sdah gak ada sebutan desa, berubah menjada Kalurahan untuk di kabupaten dan Kelurahan untuk yg di Kota.</t>
  </si>
  <si>
    <t>2026-03-06T21:31:51Z</t>
  </si>
  <si>
    <t>Mas yusril keren banget ilmu tajwid nya</t>
  </si>
  <si>
    <t>2026-04-03T07:48:06Z</t>
  </si>
  <si>
    <t>Sumpaaaah seger bnageettt nonton ini menjelang buka 😂😂😂</t>
  </si>
  <si>
    <t>2026-02-27T11:20:02Z</t>
  </si>
  <si>
    <t>Satu almet ni sama mas mas lucu ini, satu prodi juga. FOTONYA DIPAJANG TERUS DI LORONG GEDUNG</t>
  </si>
  <si>
    <t>2026-03-06T16:52:51Z</t>
  </si>
  <si>
    <t>ngeludahin fajar gaboleehhh, ngeludahin kemal boleh lah yaaa wkwkwkwk</t>
  </si>
  <si>
    <t>2026-02-27T17:40:42Z</t>
  </si>
  <si>
    <t>Dr skian podcast yg ad ebel, ini paling respect sih. Duo bahlul bner2 dgerin tiap ebel ngmg. Apresiasi tiap kmajuan ebel. Dan kamal jd lebih soft spoken 😂😂 kyk ngadepi  anak kecil</t>
  </si>
  <si>
    <t>2026-02-26T05:47:13Z</t>
  </si>
  <si>
    <t>Cocok ebel sama duo bahlul, karena mereka dengerin omongan ebel ga disangkal terus😅 walaupun ceritanya ngaco semua</t>
  </si>
  <si>
    <t>2026-02-25T22:23:00Z</t>
  </si>
  <si>
    <t>Bener bener , gk salah di juluki nu'aiman di abad ini</t>
  </si>
  <si>
    <t>2026-02-25T15:47:35Z</t>
  </si>
  <si>
    <t>tiap chanel skenario ceritanya beda beda bel😂padahal kejadiannya sama</t>
  </si>
  <si>
    <t>2026-02-25T10:50:52Z</t>
  </si>
  <si>
    <t>gw lebih suka kamal celetukannya cepet banget kaya pelawak2 jadul, benyamin sueb, mandra, komeng, ebel juga keliatannya makin pinter celetukannya.</t>
  </si>
  <si>
    <t>2026-03-12T18:23:46Z</t>
  </si>
  <si>
    <t>Cerita bohong yang selalu ditunggu 😂</t>
  </si>
  <si>
    <t>2026-02-25T11:04:18Z</t>
  </si>
  <si>
    <t>Sakit perut sumpah 😂 dari awal Sampek akhir seru banget</t>
  </si>
  <si>
    <t>2026-03-26T14:57:43Z</t>
  </si>
  <si>
    <t>Sumpah, kamal itu lucu banget 😂😂😂
Bisa yok lebih keekspos lagi</t>
  </si>
  <si>
    <t>2026-02-25T12:32:39Z</t>
  </si>
  <si>
    <t>Jangan marah yang
" Aku dulu copet" 
Bininya keren sih kelas</t>
  </si>
  <si>
    <t>2026-02-28T22:13:37Z</t>
  </si>
  <si>
    <t>Tp gw anggap ini ga boong sih, karna gw ngalamin umroh emang ujian itu macem2. Apa yg di lakuin sebelum UMROH jg Allah tampakin di sana.</t>
  </si>
  <si>
    <t>2026-03-20T11:18:03Z</t>
  </si>
  <si>
    <t>Ini yang dinamakan ketololan dan kebodohan membawa berkah...yng penting cair 😂😂😂</t>
  </si>
  <si>
    <t>2026-02-26T01:11:15Z</t>
  </si>
  <si>
    <t>Pecahhhhh parahh, aslii salah banget nonton sebelum tidur jadi ga bisa tidur🤣</t>
  </si>
  <si>
    <t>2026-02-25T19:04:11Z</t>
  </si>
  <si>
    <t>Podcast yg menemani saya masak nggosok aambil cekikikan tapi ada ilmunya.</t>
  </si>
  <si>
    <t>2026-02-28T22:08:38Z</t>
  </si>
  <si>
    <t>Sumpah ini episode paling lucu duo Bahlul VS Ebel cobra 😂😂😂</t>
  </si>
  <si>
    <t>2026-02-25T16:02:37Z</t>
  </si>
  <si>
    <t>Sumpah dari awal dar der dor bgtttt si kk😂</t>
  </si>
  <si>
    <t>2026-03-15T20:33:58Z</t>
  </si>
  <si>
    <t>gara2 lihat khong wan di prokes nya 2 bahlul,apalg waktu berebut dngn habib, aq jadi cari khong wan tp ngk ada salam  dr hongkong,, slmt hr lebaran minal aizin walfaizin mohon maaf lahir bathin.❤</t>
  </si>
  <si>
    <t>2026-03-23T05:23:47Z</t>
  </si>
  <si>
    <t>Ini episode ngakak terus msya allah 😂</t>
  </si>
  <si>
    <t>2026-03-07T22:05:51Z</t>
  </si>
  <si>
    <t>sumpah..!!!!!, unda tetawa banar sambil supan sorangan melihat ebel nih 😂</t>
  </si>
  <si>
    <t>2026-02-25T15:48:20Z</t>
  </si>
  <si>
    <t>Udah banyak Podcast ku nonton Ebel dengn cerita yang sama semua. Tetap aja ngakak ga bosan dengarinnya😅😅😅</t>
  </si>
  <si>
    <t>2026-04-29T16:31:07Z</t>
  </si>
  <si>
    <t>alfatihah udah bisa , qulhuwallah huahad😂</t>
  </si>
  <si>
    <t>2026-03-12T21:44:46Z</t>
  </si>
  <si>
    <t>Akhirnya halda dan arafah diundang juga hehe mereka emang kalo ketemu kocak dan seru 😂</t>
  </si>
  <si>
    <t>2026-02-23T12:03:27Z</t>
  </si>
  <si>
    <t>Ya Allah kocak bangetttt🤣🤣🤣 Sering2 lah kalian berkumpul menghibur kali liat org emosian gini 🤣🤣🤣... kayak liat knetz ngobrol sama org indo 🤣🤣🤣</t>
  </si>
  <si>
    <t>2026-02-23T15:41:05Z</t>
  </si>
  <si>
    <t>Akhirnya Arafah &amp; Halda Kesini</t>
  </si>
  <si>
    <t>2026-02-23T10:38:04Z</t>
  </si>
  <si>
    <t>Aku gen z anak 2000 an tp aku lebih relate sama bang sahil bang kamal. Makan yaa makan ga pake main hp dan emang lebih suka ngobrol langsung. Kalo lagi kumpul yaa ngobrol hp nya di taruh, kalo makan ya makan wkwk</t>
  </si>
  <si>
    <t>2026-03-17T23:37:07Z</t>
  </si>
  <si>
    <t>Akhir2ini bnr2 betah nontonin duo bahlul ini krn lucu bgt apalagi bang kamal. Gue udh nnton beribu2 video2 kalian abang2, tp ada satu yg ngeganjel bgt di gue.. bang sahil becandaan lo kadang sexist bgt yg bikin ga nyaman. Tlg kurang2in ya bang 🙏🏼🥹</t>
  </si>
  <si>
    <t>2026-04-27T11:19:23Z</t>
  </si>
  <si>
    <t>Kayanya ngobrol berjam2 ma Arafah Halda ga bosen deh ,seru full ngakak</t>
  </si>
  <si>
    <t>2026-02-23T12:26:33Z</t>
  </si>
  <si>
    <t>Pungkasan Kamal : 1:11:28
"Kan gw dah punya bini"
Tanda respect beliau kepada kedua bintang tamu, dan juga real kepada istri beliau.
Dan memang orang itu ga bisa di nilai secara angka, karena pasti setiap individu ada plus minus nya.
KAMAL ...... selain kocak, cerdas dalam memfilter perkataan.
Di jaga selalu ya kak, karakter karakter baiknya.
Agar DUO BAHLUL tetap berkiprah 1:11:38</t>
  </si>
  <si>
    <t>2026-06-02T12:39:42Z</t>
  </si>
  <si>
    <t>Akhirnya muncul juga bocah-bocah Depok di Podcast Bahlul.</t>
  </si>
  <si>
    <t>2026-02-24T06:29:38Z</t>
  </si>
  <si>
    <t>Yang kesini karea ada halda raise your hand☝️❤❤❤</t>
  </si>
  <si>
    <t>2026-02-24T02:45:51Z</t>
  </si>
  <si>
    <t>Gokil, setiap dua brsaudara ini jd bintang tamu pasti pecah.. mudah2an tembus 1M views ya</t>
  </si>
  <si>
    <t>2026-02-23T12:16:17Z</t>
  </si>
  <si>
    <t>Lagu nya buat cowok " Ngawang yang buat pun masih ngawang😂</t>
  </si>
  <si>
    <t>2026-02-26T03:16:06Z</t>
  </si>
  <si>
    <t>Aseeekk ada halda bareng dua bahlul🤣🤣</t>
  </si>
  <si>
    <t>2026-02-23T10:47:39Z</t>
  </si>
  <si>
    <t>seruu parahhhh ni orang-orang digabung😭🤩🤩</t>
  </si>
  <si>
    <t>2026-02-23T11:10:14Z</t>
  </si>
  <si>
    <t>5 jam juga gw jabanin dah kalo Arafah &amp; Halda mah.</t>
  </si>
  <si>
    <t>2026-02-23T16:14:15Z</t>
  </si>
  <si>
    <t>wah duo bahlul dipersatukan sama halda dan arafah lagi. pecah banget 😂</t>
  </si>
  <si>
    <t>2026-02-23T16:23:57Z</t>
  </si>
  <si>
    <t>Halda sekali nya asbun bikin ngakak batt wkwk untung ga tersinggung tuh orang da 😅</t>
  </si>
  <si>
    <t>2026-02-24T03:27:57Z</t>
  </si>
  <si>
    <t>Ini mh bukan podcast emg lagi nongki 🤣🤣 ngakak 🤣🤣</t>
  </si>
  <si>
    <t>2026-02-24T17:22:05Z</t>
  </si>
  <si>
    <t>Arafah dan halda udah seminggu gak upload di youtube  ternyata di sini😂</t>
  </si>
  <si>
    <t>2026-02-23T14:40:52Z</t>
  </si>
  <si>
    <t>Ya Allah sakit bgt perut gw ketawa mlu😭😭😭😂😂😂😂😂😂😂😂😂😂</t>
  </si>
  <si>
    <t>2026-05-16T03:53:27Z</t>
  </si>
  <si>
    <t>Astagfirulloh.... Gua kaya orang gila nontonin mereka😂😂ketawa gak berenti😂😂😂</t>
  </si>
  <si>
    <t>2026-02-23T20:47:28Z</t>
  </si>
  <si>
    <t>Nantikan Tamu Wangi Selanjutnya!
Arafah &amp; Halda 23 Feb 2026
Ebel Cobra 25 Feb 2026
Yusril Fahriza 26 Feb 2026
Tungguin ya Paranoice!</t>
  </si>
  <si>
    <t>2026-02-23T08:06:01Z</t>
  </si>
  <si>
    <t>Khong Guan jadi sponsor, baru lihat dipodcast. Satu² cemilan, kue yg isinya ngga pernah bohong. Penuh sampe tutupnya</t>
  </si>
  <si>
    <t>2026-02-24T10:52:37Z</t>
  </si>
  <si>
    <t>hari" scroll yutub bulan ramadhan munculnya GUS GOFAR mulu</t>
  </si>
  <si>
    <t>2026-02-20T16:08:32Z</t>
  </si>
  <si>
    <t>Lg di ajarin senior, gini lho podcast ga usah kaku2 bgt😂</t>
  </si>
  <si>
    <t>2026-03-29T22:19:24Z</t>
  </si>
  <si>
    <t>Punch line nya Sahil debat akan poligami dan Kamal ngajakin Gofar ngerokok</t>
  </si>
  <si>
    <t>2026-03-31T13:31:11Z</t>
  </si>
  <si>
    <t>Pinter banget mlintirnya😂😂😂. Sampe kebawa tema nya gofar, ngeleeesss teruss. Udah deh ku sumpahin gofar dapet jodoh segera, nikah dan bahagia. Balikan juga ga papa😂😂😂</t>
  </si>
  <si>
    <t>2026-02-22T09:25:10Z</t>
  </si>
  <si>
    <t>para veteran dalam satu frame tektokanya terlalu OP nih.</t>
  </si>
  <si>
    <t>2026-02-20T20:22:20Z</t>
  </si>
  <si>
    <t>gofar disetiap tanya nikah, selalu berusaha menghindar dan merubah topik itu dengan bercandaan, di podcast manapun😂</t>
  </si>
  <si>
    <t>2026-03-30T07:08:14Z</t>
  </si>
  <si>
    <t>Pria SOLEH itu lagi 😂</t>
  </si>
  <si>
    <t>2026-02-20T13:40:40Z</t>
  </si>
  <si>
    <t>Ini orang bertiga tek tokannya cepet banget ga pernah sepi obrolannya isi semua... Wkwkw</t>
  </si>
  <si>
    <t>2026-04-24T00:39:09Z</t>
  </si>
  <si>
    <t>Podcast yang bentar lagi akan meledak</t>
  </si>
  <si>
    <t>2026-02-20T12:45:48Z</t>
  </si>
  <si>
    <t>Panutan yang pernah jadi imam di semasa SMA</t>
  </si>
  <si>
    <t>2026-02-20T11:22:56Z</t>
  </si>
  <si>
    <t>Oh cocok sih, gus gofar emang laku kalo ramadan gini😊</t>
  </si>
  <si>
    <t>2026-02-20T13:16:11Z</t>
  </si>
  <si>
    <t>Pokoke 2 bahlul kocak.
Apalagi circle sama gopar. Combo luar biasa 🎉😅</t>
  </si>
  <si>
    <t>2026-02-20T10:54:43Z</t>
  </si>
  <si>
    <t>Ampun dah...lucu abis podcast nya..Gofar emang usil dan nyeleneh...duo bahlul sampe speachless...apalagi sesi tanya jawab...😂😂😂😂</t>
  </si>
  <si>
    <t>2026-06-25T00:30:56Z</t>
  </si>
  <si>
    <t>Terimakasih ya duo bahlul,cm kalian yg BS buat AQ ngakak sampe keluar air mata👍👍👍</t>
  </si>
  <si>
    <t>2026-05-22T00:58:50Z</t>
  </si>
  <si>
    <t>Kamal kocak... Panjang karir lo mal... Aamin</t>
  </si>
  <si>
    <t>2026-02-21T04:17:28Z</t>
  </si>
  <si>
    <t>Kalo di liat kamal ini mirip m.bean versi indo 😂....</t>
  </si>
  <si>
    <t>2026-02-21T12:41:39Z</t>
  </si>
  <si>
    <t>Isinya full ngakak semua 😂😂😂,. Mank Gofar ni ga ada habisnya bikin ngakak + digabung duo bahlul</t>
  </si>
  <si>
    <t>2026-03-30T08:49:05Z</t>
  </si>
  <si>
    <t>tiap ramadhan Gus gofar sama paman coki yg muncul fyp 😂</t>
  </si>
  <si>
    <t>2026-02-20T18:15:23Z</t>
  </si>
  <si>
    <t>Tungguin tamu wangi yang bakal hadir selanjutnya 
Gofar Hilman 20 Feb 2026
Arafah &amp; Halda 23 Feb 2026
Ebel Cobra 25 Feb 2026
nah mau ada siapa lagi? reply komen ini!</t>
  </si>
  <si>
    <t>2026-02-20T08:10:19Z</t>
  </si>
  <si>
    <t>Ilmunya dpt, ngakaknya jg dpt 😂</t>
  </si>
  <si>
    <t>2026-02-19T14:30:19Z</t>
  </si>
  <si>
    <t>DEMI ALLAH AKHIRNYA LIAT MEREKA BERTIGA LAGI SENENG BGT</t>
  </si>
  <si>
    <t>2026-02-19T11:21:46Z</t>
  </si>
  <si>
    <t>Sukaa amaa kolaborasii 2 Habib dan 1 orang Tukang Marah iniii 😂😂</t>
  </si>
  <si>
    <t>2026-02-20T13:25:03Z</t>
  </si>
  <si>
    <t>Beberapa hari ini aku mengalami kecemasan yang luar biasa, hati deg2an tangan gemeter dingin, stres tertekan, tp berkat nonton kalian berdua buat aku ketawa alhamdulillah hari ini 18 maret 2026 aku ngerasa jauh lebih baik 😭 karena ke dokter biayanya lumayan banget, kalian sangat berjasa. Semoga Allah angkat derajat kalian semua tim duobahlul.</t>
  </si>
  <si>
    <t>2026-03-17T20:44:01Z</t>
  </si>
  <si>
    <t>Undang pak Muh ketemu yahmar yahmar ini, please. WKWK</t>
  </si>
  <si>
    <t>2026-02-20T01:04:44Z</t>
  </si>
  <si>
    <t>Nonton kamal udah kaya orang gila, ketawa ketawa sendiri 😅</t>
  </si>
  <si>
    <t>2026-04-15T05:21:09Z</t>
  </si>
  <si>
    <t>Pliss upload tiap hari edisi ramadhan 
Tolong bgt ini mah</t>
  </si>
  <si>
    <t>2026-02-19T11:02:11Z</t>
  </si>
  <si>
    <t>Ini seruuu bgtttt, mengalahkan program habib yg lainnn 😅🤭✨</t>
  </si>
  <si>
    <t>2026-04-02T13:19:15Z</t>
  </si>
  <si>
    <t>Ini podkes humornya pecah bgt, ilmunya dpt banget.. Keren banget.. Pokoknya podkesnya pedkes bgt😂</t>
  </si>
  <si>
    <t>2026-02-21T06:16:46Z</t>
  </si>
  <si>
    <t>kok jadi candu ma podcast kalian.....😂</t>
  </si>
  <si>
    <t>2026-03-17T15:12:16Z</t>
  </si>
  <si>
    <t>Knp ya nonton mereka bertiga (kamal, sahil, habib ja'far) lbh berasa banget ramadhan nya, apa krn saya banyak dosa ya😂</t>
  </si>
  <si>
    <t>2026-02-19T15:26:08Z</t>
  </si>
  <si>
    <t>Dari awal sampai akhir ngakak aja aku tapi ilmu nya dapat.. Suka banget seperti ini podcast nya</t>
  </si>
  <si>
    <t>2026-02-22T17:26:02Z</t>
  </si>
  <si>
    <t>Welcome to Al Jazeera TV😂</t>
  </si>
  <si>
    <t>2026-02-19T10:55:27Z</t>
  </si>
  <si>
    <t>Bkin podcast ajj bertiga sahil, kemal, habib😂😂😂</t>
  </si>
  <si>
    <t>2026-02-20T03:16:55Z</t>
  </si>
  <si>
    <t>Anak aku udh aku ajarin dr usia 3 tahun setengah, alhmdulillah g setengah hari lngsng full smpe magrb. memang ad bolong 3 hr de sebulan, tp Masya Allah deh smpe skrg usia udh 6 tahun dia udh jauh dr kata ngeluh, panas, haus, laper😇😇</t>
  </si>
  <si>
    <t>2026-03-11T20:13:46Z</t>
  </si>
  <si>
    <t>Arab squad lagi seruuu!! 😂</t>
  </si>
  <si>
    <t>2026-02-19T14:12:22Z</t>
  </si>
  <si>
    <t>jujuuuuuuuuuuuuurrr . jujuurrrrr yaaa Bib , jujurrrrrrrrr 
ini siihh ber tiga 50 x lebih seruuuuuu dr podcast sebelaahh Bib , yg ber tiga juga ada Bib Husein ......
saya pendukung anda Bib , asseli bondowoso
semoga tahun depan , trio ini bisa jad host ramadhan di podcast sebelah</t>
  </si>
  <si>
    <t>2026-03-30T12:06:26Z</t>
  </si>
  <si>
    <t>Lawak banget selera humor mumpuni dari geng Arab ini dar der dor banget 😂</t>
  </si>
  <si>
    <t>2026-02-22T08:54:40Z</t>
  </si>
  <si>
    <t>banyakin podcast bahlul dan habib plisss</t>
  </si>
  <si>
    <t>2026-05-23T04:17:44Z</t>
  </si>
  <si>
    <t>ayooo dong bulan ramadhan ntr sering ngonten duo bahlul, MINTA TOLONG BANGET INIMAH😭😭 soalnya kelen mood bangett etdahh</t>
  </si>
  <si>
    <t>2026-02-10T09:34:20Z</t>
  </si>
  <si>
    <t>Ridwan remin versi perawatan😂</t>
  </si>
  <si>
    <t>2026-02-12T03:14:13Z</t>
  </si>
  <si>
    <t>Briano Kawenang ( Den Dimas ), anak dari Almarhumah Ibu Tutty Alawiyah, Wakil Mentri sekaligus Mentri di erah Presiden Soeharto dan Bj.Habibie, sekaligus ustadza dan pengasuh Pondok pesantren 😊</t>
  </si>
  <si>
    <t>2026-03-05T05:09:48Z</t>
  </si>
  <si>
    <t>Lamaaaaa bgt gw nunggu eps baru ya ampyuuuun</t>
  </si>
  <si>
    <t>2026-02-10T04:03:18Z</t>
  </si>
  <si>
    <t>Den Dimas asyik juga nih masuk Road Party, ngimbangin trio dan nemenin Arif yg suka dibully bocil2 di komentar...</t>
  </si>
  <si>
    <t>2026-02-12T07:34:42Z</t>
  </si>
  <si>
    <t>Lama banget nunggu duo ini yaa
...akhirnya...🎉</t>
  </si>
  <si>
    <t>2026-02-10T05:59:28Z</t>
  </si>
  <si>
    <t>Kamal(Sang Tulang punggung Komedi 2026) terlalu sibuk jadwalnya sekarang, jadi baru nongol lagi ngonten Duo Bahlul 🤦🏻‍♂️🤦</t>
  </si>
  <si>
    <t>2026-02-10T04:06:01Z</t>
  </si>
  <si>
    <t>Akhrnya yg di tunggu” up jugaa , selalu nungguin duo bahlul ❤❤</t>
  </si>
  <si>
    <t>2026-02-13T01:37:23Z</t>
  </si>
  <si>
    <t>Nunggu duo bahlul nongol lama banget,,, sering lihat di Jak fm dan motomobi</t>
  </si>
  <si>
    <t>2026-02-10T06:10:49Z</t>
  </si>
  <si>
    <t>GILAAA NUNGGU PODCAST INI LAMA BGT TAYANG KEBURU BURNOUT, PLIS SEMINGGU 2X TAYANG!!!!!!!!!!!</t>
  </si>
  <si>
    <t>2026-02-10T11:01:39Z</t>
  </si>
  <si>
    <t>the next star min,TOLONG PENUHIN DI BULAN RAMADAHAAN,ASLI BIKIN NGAKAKKKK😂😂😂😂</t>
  </si>
  <si>
    <t>2026-02-13T04:27:58Z</t>
  </si>
  <si>
    <t>wkwk den dimas mukanya mirip danang suaranya mirip remin🤣</t>
  </si>
  <si>
    <t>2026-02-10T09:09:11Z</t>
  </si>
  <si>
    <t>Akhirnya ada yang baru. Udah nungguin lama banget...</t>
  </si>
  <si>
    <t>2026-02-10T06:05:50Z</t>
  </si>
  <si>
    <t>da cari cari duo ini ko dah ga ada lg... akhirnya ada lagi, tapi lama bgt.... ayo dong di rutinin min....</t>
  </si>
  <si>
    <t>2026-02-18T10:39:55Z</t>
  </si>
  <si>
    <t>Akhirnya 😭 sering² uploud plisss</t>
  </si>
  <si>
    <t>2026-02-12T22:55:54Z</t>
  </si>
  <si>
    <t>Alhamdulillah akhirnya podcast Bahlul lagi🎉</t>
  </si>
  <si>
    <t>2026-02-10T06:32:48Z</t>
  </si>
  <si>
    <t>Yng ditunggu" akhirnya upld lagii</t>
  </si>
  <si>
    <t>2026-02-10T18:02:53Z</t>
  </si>
  <si>
    <t>Akhirnya yg ditunggu tayang jg..</t>
  </si>
  <si>
    <t>2026-02-10T14:23:32Z</t>
  </si>
  <si>
    <t>MANTEPPPP HADIRRRR JUGAA!!!!!</t>
  </si>
  <si>
    <t>2026-02-10T06:16:32Z</t>
  </si>
  <si>
    <t>Buat Mudik... Toyota udah beres, hati tenang, lebaran pun senang...
Avanza buat keluarga kecil, Innova buat keluarga besar. Udah paling pas.</t>
  </si>
  <si>
    <t>2026-02-10T05:33:37Z</t>
  </si>
  <si>
    <t>2025-12-22T17:16:03Z</t>
  </si>
  <si>
    <t>2025-12-30T10:19:56Z</t>
  </si>
  <si>
    <t>2026-04-07T19:27:29Z</t>
  </si>
  <si>
    <t>2025-12-26T07:43:48Z</t>
  </si>
  <si>
    <t>2025-12-22T16:18:58Z</t>
  </si>
  <si>
    <t>2025-12-27T16:05:36Z</t>
  </si>
  <si>
    <t>2025-12-28T13:36:27Z</t>
  </si>
  <si>
    <t>2026-03-08T11:58:46Z</t>
  </si>
  <si>
    <t>2026-01-15T09:26:25Z</t>
  </si>
  <si>
    <t>2026-01-04T17:00:53Z</t>
  </si>
  <si>
    <t>2026-01-17T05:12:41Z</t>
  </si>
  <si>
    <t>2026-03-06T11:50:46Z</t>
  </si>
  <si>
    <t>2026-01-02T13:10:29Z</t>
  </si>
  <si>
    <t>2025-12-25T04:48:32Z</t>
  </si>
  <si>
    <t>2026-03-29T06:11:27Z</t>
  </si>
  <si>
    <t>2025-12-23T09:07:41Z</t>
  </si>
  <si>
    <t>2025-12-24T00:47:22Z</t>
  </si>
  <si>
    <t>2025-12-28T01:48:26Z</t>
  </si>
  <si>
    <t>2026-01-06T06:24:36Z</t>
  </si>
  <si>
    <t>2025-12-29T21:37:23Z</t>
  </si>
  <si>
    <t>Bang KAMAL.. Lu IDOLA gw sekarang.. LUCU BANGEEEEEET sumpah.....
semoga acara ini bertahan sampe puasa ya, jadi teman ngabuburit.. hehehe</t>
  </si>
  <si>
    <t>2025-12-09T01:55:54Z</t>
  </si>
  <si>
    <t>kalau ramadhan tahun depan  acara ini ada terus auto nonton ini fix nunggu berbuka</t>
  </si>
  <si>
    <t>2025-12-08T09:25:39Z</t>
  </si>
  <si>
    <t>GILA..... ternyata Melanie sampai segitu nya! Gw sangat berterima kasih karena sudah membantu mereka semua 🙏🙏🙏🙏🙏</t>
  </si>
  <si>
    <t>2025-12-08T10:29:29Z</t>
  </si>
  <si>
    <t>Gw nonton ini Mei 2026, bener2 mendeskripsikan lagu "Sederhana" nya Sheila on 7 yg baru dirilis mei ini gaya hidupnya Melanie Subono.</t>
  </si>
  <si>
    <t>2026-05-14T14:29:56Z</t>
  </si>
  <si>
    <t>Kamal emang wajib naik karir nya ni... Kocak nya kebangetan.. Jox terakhirnya tu lucu nya kebangetan.. Die kenal kaka slank.. Die akrab sama geng potlot... 😂</t>
  </si>
  <si>
    <t>2025-12-08T11:23:34Z</t>
  </si>
  <si>
    <t>Bapaknya promotor musik internasional,anaknya bisa sehumble ini,keren melanie</t>
  </si>
  <si>
    <t>2026-03-09T10:34:36Z</t>
  </si>
  <si>
    <t>d sni melaney mode receh gara2 kamal😂😂😂😂😂😂😂</t>
  </si>
  <si>
    <t>2025-12-10T02:31:32Z</t>
  </si>
  <si>
    <t>Episode ini underrated. 
Padahal lucu n seru bgt. Melanie lucu. Kamal on fire spti biasa 😂😂😂</t>
  </si>
  <si>
    <t>2026-04-18T08:49:51Z</t>
  </si>
  <si>
    <t>Sumpahh🤣🤣🤣🤣kocak di part  waktu kamal nyanyi lagu melanie, mama ku ingin cerita 🤣🤣🤣....sedih beudd</t>
  </si>
  <si>
    <t>2026-04-14T09:12:40Z</t>
  </si>
  <si>
    <t>Dear Melanie Subono, terima kasih sudah menginspirasi. Makin kagum sama kamu ❤</t>
  </si>
  <si>
    <t>2025-12-10T07:16:29Z</t>
  </si>
  <si>
    <t>Kamaaal.... Beneran lo tulang punggung komedi Indonesia. Kocaaak, sampe gw denger radio lagi (dan tentu gw pilih Jak FM!) gegera lo!! Thank ya</t>
  </si>
  <si>
    <t>2025-12-10T07:15:41Z</t>
  </si>
  <si>
    <t>Paling demen kalo Kamal ngajak gelud bintang tamu. Jadi makin lucu 😂😂😂❤</t>
  </si>
  <si>
    <t>2026-04-18T08:47:45Z</t>
  </si>
  <si>
    <t>naah gini enak niih di dengerin nya.. gak kebanyakan efek .. 
thx editor ..</t>
  </si>
  <si>
    <t>2025-12-08T10:24:56Z</t>
  </si>
  <si>
    <t>Melanie kamu keren.. terimakasih sdh jd salah satu orang baik di Indonesia 👍</t>
  </si>
  <si>
    <t>2025-12-08T11:51:36Z</t>
  </si>
  <si>
    <t>Sekelas Melanie Subono, cucu mantan presiden Indonesia pake sepatu Vans buluk yg di lem.. ya Allah saya kurang bersyukur, makasih teguran nya.</t>
  </si>
  <si>
    <t>2026-05-10T14:38:09Z</t>
  </si>
  <si>
    <t>Kamal dapat saingan nihhh :P ini by farr adalah episode kalian yang paling lucu sih...</t>
  </si>
  <si>
    <t>2025-12-08T11:19:58Z</t>
  </si>
  <si>
    <t>Alhamdulillah, sound effectnya udah mulai ga ganggu</t>
  </si>
  <si>
    <t>2025-12-09T15:45:30Z</t>
  </si>
  <si>
    <t>Padahal klo mau sedekah pakaian tuh justru pakaian yg terbaik bukan ygterburuk.</t>
  </si>
  <si>
    <t>2025-12-09T03:58:49Z</t>
  </si>
  <si>
    <t>Kamal.. The next rising star.. 😁</t>
  </si>
  <si>
    <t>2026-03-03T21:16:44Z</t>
  </si>
  <si>
    <t>Seneng deh nonton podcast ini. Melanie nih pinter, kritis, tp juga asik buat becanda. Btw, even jd groupies grup musik pun slr perlu liat value grupnya, ga cuma suka sosoknya</t>
  </si>
  <si>
    <t>2025-12-10T02:44:07Z</t>
  </si>
  <si>
    <t>kira-kira eps selanjutnya apa ya yang bakal ganggu...
a. Sound effect
b. Angle kamera
c Visual</t>
  </si>
  <si>
    <t>2025-11-29T07:34:05Z</t>
  </si>
  <si>
    <t>SOUND EFFECT NYAAA ILANGIN GANGGU BGT, mereka udh lucu.</t>
  </si>
  <si>
    <t>2025-11-26T09:00:48Z</t>
  </si>
  <si>
    <t>Komentarin host ❎
Komentarin guest star ❎
Komentarin sound editor ✅</t>
  </si>
  <si>
    <t>2025-12-03T01:08:14Z</t>
  </si>
  <si>
    <t>Bener kata soleh di pagi hari ga ada lg yg menarik selain paginya Jakfm. Seru, berisik, kocak</t>
  </si>
  <si>
    <t>2025-11-25T00:41:42Z</t>
  </si>
  <si>
    <t>Gak perlu banyak effect udah lucu mereka berdua</t>
  </si>
  <si>
    <t>2025-11-24T14:08:32Z</t>
  </si>
  <si>
    <t>Duo Bahlul ini perpaduan yang unik emang..keren, sama-sama ga one man show..sama-sama menyadari apa yang jadi kelebihan dan kekurangan masing-masing..Mas Kamal Lucu, Mas Sahil punya ide bisnis. Ini mirip sama Mas Surya dan Mas Omesh. Mirip juga dengan Warkop DKI, yang punya ide bisnis bagus lebih ke Om Kasino, bagian seni dan komedi nya ke Om Dono dan Om Indro (tapi tetep Om Kasino lucu juga). Rukun-rukun selalu buat kalian.</t>
  </si>
  <si>
    <t>2026-04-17T06:47:24Z</t>
  </si>
  <si>
    <t>Suka banget sama episode ini, kamal dibuat keki. Terlepas tim editingnya seperti apa</t>
  </si>
  <si>
    <t>2026-04-13T15:02:09Z</t>
  </si>
  <si>
    <t>Awal baca komen agak ga percaya soalnya liat di TT keknya baik aja, ternyata setelah berjalan 14mnt, asli ini setiap detik ini ada sound effect 😂😂</t>
  </si>
  <si>
    <t>2025-12-04T12:56:43Z</t>
  </si>
  <si>
    <t>Kamal asli emang ni kocak banget... Bakalan naik daun ni kamal kayanya...</t>
  </si>
  <si>
    <t>2025-11-24T10:58:54Z</t>
  </si>
  <si>
    <t>Sound efeknya kek nonton dagelan wkwkw</t>
  </si>
  <si>
    <t>2026-01-04T02:08:13Z</t>
  </si>
  <si>
    <t>Pengen banget nunjukin skil edit dan asyik sendiri editornya.. Semua sound efek dikeluarin, tiap menit, ngerusak banget, gumoh!
padahal cukup mereka aja uda rame seru, dan menarik</t>
  </si>
  <si>
    <t>2025-11-26T07:05:08Z</t>
  </si>
  <si>
    <t>Mampir kesini karena kang Soleh bintang tamunya 😂😂😂</t>
  </si>
  <si>
    <t>2025-11-26T08:35:12Z</t>
  </si>
  <si>
    <t>gong banget sih kamal nanyain parenting orangtua nya kang soleh 🤣🤣</t>
  </si>
  <si>
    <t>2026-04-13T08:35:28Z</t>
  </si>
  <si>
    <t>Kalo kang soleh denger sound effect nya, kayanya bakal d roasting jg.</t>
  </si>
  <si>
    <t>2025-11-26T12:13:49Z</t>
  </si>
  <si>
    <t>Ini episode asik bgt sebenrnya, cuma cape telinga denger effect gajelas😂</t>
  </si>
  <si>
    <t>2025-11-30T10:03:10Z</t>
  </si>
  <si>
    <t>Bang Kamal lucu orangnya....baru tau setelah fyp di short..... soundnya ganggu obrolan banget</t>
  </si>
  <si>
    <t>2025-12-28T04:47:34Z</t>
  </si>
  <si>
    <t>masukan buat editor, sound effectny jgn tlalu byk dan tlalu kenceng. Trutama yg suara ohmygod tu kekencengan. Sama efek echo tlalu kenceng sampai kata2nya jd kurang jelas padahal itu bagian lucunya. makasih editor, semangat</t>
  </si>
  <si>
    <t>2025-12-02T00:52:47Z</t>
  </si>
  <si>
    <t>Benci banget sama sfx "oomagaaaad"</t>
  </si>
  <si>
    <t>2025-11-24T19:00:56Z</t>
  </si>
  <si>
    <t>Ini sound effectnya volumenya dikecilin, bakalan lebih lucu kayaknye</t>
  </si>
  <si>
    <t>2025-11-24T16:43:31Z</t>
  </si>
  <si>
    <t>Jangan 2minggu sekali dong tayangannya,,nunggu next podkes nya kelamaan😭</t>
  </si>
  <si>
    <t>2025-11-24T09:47:54Z</t>
  </si>
  <si>
    <t>Kamal aku doain rezeki kebahagiaan uang kedamaian mengalir deras. Semoga dapet rezeki umrah juga segera, keliatan pengen banget soalnya 😂</t>
  </si>
  <si>
    <t>2025-12-17T06:36:55Z</t>
  </si>
  <si>
    <t>Podcast Bahlul feat Habib Jafar jadi program tetap selama Ramadhan entar bagus bgt nihhh, menghiburrrr tapi dagingggg, seger2 pas puasaa</t>
  </si>
  <si>
    <t>2025-11-12T08:54:33Z</t>
  </si>
  <si>
    <t>Undang fadil jaidi &amp; pak muh</t>
  </si>
  <si>
    <t>2025-11-11T01:12:06Z</t>
  </si>
  <si>
    <t>Podcast ini mengandung komedi, juga banyak mengandung pesan moralnya 😭. Terima kasih sudah mengingatkan apa yang perlu dijaga oleh seorang yang beriman 🙌🏻.</t>
  </si>
  <si>
    <t>2025-11-11T14:11:32Z</t>
  </si>
  <si>
    <t>trio ini buatin program Ramadan donk 😂</t>
  </si>
  <si>
    <t>2025-11-10T22:20:48Z</t>
  </si>
  <si>
    <t>Mukanya mirip semua 🤣</t>
  </si>
  <si>
    <t>2025-11-11T23:56:17Z</t>
  </si>
  <si>
    <t>adab nya kak sahlil bagus banget, dia sebenernya udah tau ilmu2 nya/pembahasan yang di omongin habib husein. tapi dia tetep nyimak TANPA  nyelak dan gak motong setiap omongannya habib sama sekali... masyaAllah.. buat program ramadhan bertiga pas sahur sih bakalan pecah ini</t>
  </si>
  <si>
    <t>2025-11-19T04:37:25Z</t>
  </si>
  <si>
    <t>Habib Husein kayak lagi ngobrol sama Nuaiman🤣</t>
  </si>
  <si>
    <t>2025-11-13T07:35:23Z</t>
  </si>
  <si>
    <t>berasa al Jazeera tv pake subtitle indo</t>
  </si>
  <si>
    <t>2025-11-11T12:21:58Z</t>
  </si>
  <si>
    <t>Paling demen kalo Kamal ngajak gelud bintang tamu. Jadi makin lucu 😂😂❤</t>
  </si>
  <si>
    <t>2026-04-20T04:55:24Z</t>
  </si>
  <si>
    <t>ga ada subtitle bahasa arab.. siapa tau ditonton sama orang2 yaman dan suriah.. 😂</t>
  </si>
  <si>
    <t>2025-11-10T09:48:16Z</t>
  </si>
  <si>
    <t>Mampir kesini gegara Sania Leonardo, ehh ada yang lebih kocak lagi sama Habib Jafar 🤣🤣</t>
  </si>
  <si>
    <t>2026-01-11T00:45:22Z</t>
  </si>
  <si>
    <t>Allahu Akbar, selain ber Daging episode hari ini, dari awal sampe akhir nonton ngga berhenti ketawa bener-bener dah sampe kram nih perut Ya Allah Ya Rabbi 😭😭Astaghfirullah Hal Adzim😂 makasih NOICE , makasih bang Sahil, bang Kamal Habib Ja'far sehat selalu barokah Aamiin Ya Rabbal Alamin🤲</t>
  </si>
  <si>
    <t>2025-11-10T15:47:52Z</t>
  </si>
  <si>
    <t>Habib2 ini harus ada acara bertiga pleaseeee</t>
  </si>
  <si>
    <t>2025-11-11T05:38:13Z</t>
  </si>
  <si>
    <t>Tektokanya kyknya timingnya lebih diatur lagi biar bisa lebih nyaman ^^, habib2 ini komedinya lucu2😂</t>
  </si>
  <si>
    <t>2025-11-10T15:58:01Z</t>
  </si>
  <si>
    <t>Kaya lagi di toko parfum daerah condet... pulang beli nasi kebuli dah nih</t>
  </si>
  <si>
    <t>2025-11-11T02:46:41Z</t>
  </si>
  <si>
    <t>Kamal gacor bet ketemu duo habib 😂</t>
  </si>
  <si>
    <t>2025-11-11T13:58:28Z</t>
  </si>
  <si>
    <t>abis ini ci Fadil.Jaidi pliiissss</t>
  </si>
  <si>
    <t>2025-11-10T18:48:06Z</t>
  </si>
  <si>
    <t>Yg kesini krn podcast halda arafah ☝️</t>
  </si>
  <si>
    <t>2025-11-24T13:23:45Z</t>
  </si>
  <si>
    <t>Singkat padat "Yakobus Vincentius" 🤣🤣🤣🤣</t>
  </si>
  <si>
    <t>2026-04-21T15:21:30Z</t>
  </si>
  <si>
    <t>Aku fans baruuuuuuu.... Aku suka dia duanya... 😂😂😂😂 salam dari sukabumi sundanis</t>
  </si>
  <si>
    <t>2025-10-27T12:07:21Z</t>
  </si>
  <si>
    <t>Gw termasuk org yg Ter kamal2 😂😂 Setiap buka Youtube gw selalu cari Podcast yg ada Kamalnyaaaa 😂😂😂</t>
  </si>
  <si>
    <t>2026-04-06T07:22:51Z</t>
  </si>
  <si>
    <t>Gue ke sini gara² di tiktok kamal protes kakeknya dari yaman datang di kebon kacang bukan di bali😂😂😂😂😂😂😂</t>
  </si>
  <si>
    <t>2026-05-23T10:47:30Z</t>
  </si>
  <si>
    <t>Bumifood : "wahh gasalah ini gw jual setengah aset perusahaan untuk endorse"</t>
  </si>
  <si>
    <t>2025-10-31T12:12:27Z</t>
  </si>
  <si>
    <t>25:00
Gara² potongan video Amar gw kesini
Gilaaa yeee Kamal cepet banget nyautnye Cerdas cooy
Bagaimana aku bisa merangkul orang² Berdosa klo aku tidak Nyobain wkwkwkkwkw</t>
  </si>
  <si>
    <t>2026-05-31T07:38:00Z</t>
  </si>
  <si>
    <t>Kamal coba open mic stand up komedi kek lucu banget gilakk, kayanya dia cocok open mic tapi bagian rosting orang wkwkwk😂😂</t>
  </si>
  <si>
    <t>2026-04-15T13:32:15Z</t>
  </si>
  <si>
    <t>Duo bahlul sering2 bikin podcast begini, seru banget interaksi lgsg sama penonton. Soalnya kamal ngomel mulu 😂</t>
  </si>
  <si>
    <t>2026-04-15T14:54:29Z</t>
  </si>
  <si>
    <t>selama 2 minggu belakangan aku sll mencari duo bahlul....i'm your new fan. mulai suka dari saat anak magang yang ootd...asli ngakak sama Kamal gegara ootd anak magangnya lebih mahal dari biaya pernikahannya wkwkwk</t>
  </si>
  <si>
    <t>2025-10-28T05:44:20Z</t>
  </si>
  <si>
    <t>gue jadi suka podcast bahlul gara gara marah marahnya kamal wkwkwkwkkwkw</t>
  </si>
  <si>
    <t>2025-10-29T04:54:35Z</t>
  </si>
  <si>
    <t>BANYAKIN PODCAST LIVE GINI, ATAU TOUR SERUUUU DUO BAHLUL GINIAN INTERAKTIF 🎉🎉🎉</t>
  </si>
  <si>
    <t>2026-06-23T19:17:04Z</t>
  </si>
  <si>
    <t>Plis untuk NOICE bikin potkes ini seminggu 2x dong. Capek nunggu seminggu lebih baru ada lagi.</t>
  </si>
  <si>
    <t>2025-10-28T10:54:54Z</t>
  </si>
  <si>
    <t>aku org yg tergolong dingin GK suka receh receh komedi,TPI semenjak knal komedi Kamal aku jdi pemburu podcast yg ada kamalnya,sampe video yg belasan tahun lalu yg ada Kamal pun Tetiba aku tahu.</t>
  </si>
  <si>
    <t>2026-06-08T06:42:27Z</t>
  </si>
  <si>
    <t>😂berasa pengen nongkrong bareng Ama Lu bang kamall😂😂😂</t>
  </si>
  <si>
    <t>2026-06-20T16:08:45Z</t>
  </si>
  <si>
    <t>Gileeeeee... bang kamal cepet banget jokes2nya.....</t>
  </si>
  <si>
    <t>2026-04-01T10:01:06Z</t>
  </si>
  <si>
    <t>26:00 pecahhh sihhh, suara hati Kebon kacang mainstream kwkwkw 😂😂😂</t>
  </si>
  <si>
    <t>2025-10-27T17:20:01Z</t>
  </si>
  <si>
    <t>harusnya gue nonton langsung nih, gue hampir nonton semua soalnya 😆</t>
  </si>
  <si>
    <t>2025-10-28T08:14:17Z</t>
  </si>
  <si>
    <t>Kamal bakal jadi bintang baru nihh</t>
  </si>
  <si>
    <t>2025-10-27T13:51:11Z</t>
  </si>
  <si>
    <t>Baru nonton ini full 2026 dan kalian Duo Bahlul sudah ngetop habiiiizzz...kereen..ente bedua emang Bahluuuul😂❤sehat2 dan sukses terus yaaaa❤❤❤🎉🎉🎉</t>
  </si>
  <si>
    <t>2026-06-10T02:12:27Z</t>
  </si>
  <si>
    <t>geloooo kamal makin bersinar aj nich</t>
  </si>
  <si>
    <t>2025-10-28T02:56:17Z</t>
  </si>
  <si>
    <t>Fav baru gw nihhh duo bahlul❤❤❤</t>
  </si>
  <si>
    <t>2026-04-03T09:45:01Z</t>
  </si>
  <si>
    <t>Enzy sama vindes udh terlalu internal jokesnya jd agak kureng..nah...sama Kamal keknya FRESSSH BANGETT PECAHHH!</t>
  </si>
  <si>
    <t>2026-03-17T02:26:39Z</t>
  </si>
  <si>
    <t>Menit ke 30. Itulah rancunya bahasa Indonesia sekarang, ketika kata *"Kota"* itu dijadikan definisi pemerintahan tingkat II (Kota/Kabupaten). Dulu namanya *Kotamadya* (Sekarang: *Kota* saja).  Contohnya:
_Dimana Ibukota Kota(madya) Bogor?_ Di Kota Bogor.
_Dimana Ibukota Kabupaten Bogor_ di Kota Kecamatan Cibinong.
_Dimana ibukota Kota(madya) Bekasi?_  di Kota Bekasi
_Dimana ibukota Kabupaten Bekasi?_ di Kecamatan Cikarang Pusat,  tepatnya di Kota Deltamas. 
Ada lagi contoh pertanyaan:
Pak Budi tinggal di Cianjur ya? Cianjurnya dimana, di Cisarua, Cipanas, atau Rajamandala? Dijawab: Pak Budi tinggal di *KOTA Cianjurnya* _(Padahal kan Cianjur itu KABUPATEN, bukan KOTA(MADYA)._
JADI DEFINISI KOTA itu bukan sekedar harus PEMERINTAHAN !  tapi ada definisi Planologi yaitu pusat kegiatan ekonomi masyarakat yang ramai.
*Jadi, si Kamal TIDAK SOTOY, justru dia yg benar.*
Tabanan, Buleleng, Kuta, Gianyar, Sanur, ya itu juga Kota (pusat keramaian) di Bali, dan sekaligus ibukota Kabupatennya juga.</t>
  </si>
  <si>
    <t>2026-04-05T08:43:39Z</t>
  </si>
  <si>
    <t>Kamal bakalan naik bgt  si,bnyak bgt yg suka .aku juga jadi ter kamal kamal,sebagai ibu rumah tangga,gw mulai nyari podcast” yg ada kamalnya buat nemenin aktifitas ge di rumah,sambil nyetrika sambil masak,sambil beberes dll,makasih kamal udah hadir di dunia ini wlwpun gw telat tahunya,nakin mood bgt dengan marah marahmu🤣🤣🤣🤣🤣🤣</t>
  </si>
  <si>
    <t>2026-04-06T00:50:42Z</t>
  </si>
  <si>
    <t>gilaa energi kamal sama enzy gokill bgt🤣🤣</t>
  </si>
  <si>
    <t>2026-03-17T01:31:34Z</t>
  </si>
  <si>
    <t>Enzy ketemu partner yang sepadan komedinya. Vidi pergi tumbuh Kamal yang energi nya sama. Dan Kamal pun Aries seperti Vidi. Semoga mereka ada project bareng lagi. Seru banget pasti</t>
  </si>
  <si>
    <t>2026-03-24T20:46:29Z</t>
  </si>
  <si>
    <t>Anjiirrrrlah kamal kocak bgt.. fix lah gue kamal lovers sekarang 🤣🤣🤣🤣🤣🤣🤣</t>
  </si>
  <si>
    <t>2025-10-24T06:39:53Z</t>
  </si>
  <si>
    <t>Kamal kalo satu frame sm desta surya pasti pecah bgt dah wkw</t>
  </si>
  <si>
    <t>2026-03-14T15:04:07Z</t>
  </si>
  <si>
    <t>Kabupaten sama kota secara administrasi setara makanya yang mimpin bupati/walikota, gue belain pak kamal</t>
  </si>
  <si>
    <t>2026-03-17T16:51:00Z</t>
  </si>
  <si>
    <t>Bang Kamal makan daging kambing setiap hari kayaknya, tensi ga pernah normal kebawah 🤣 , sekarang ini jd podcast yang gw tunggu setelah podcast seminggu</t>
  </si>
  <si>
    <t>2025-10-15T03:27:12Z</t>
  </si>
  <si>
    <t>Disini keliatan yang paling cerdas adalah Kamal. Ya Bali itu Pulau dan yg ditanya Kamal dimana bertumbuh kembangnya Maxime dan Luna. Kalo diwilayah Seminyak berarti masuk ke Kab. Badung. Akh.. senang aja nontonnya. Menghibur hati dan bisa ketawa..😅</t>
  </si>
  <si>
    <t>2026-04-03T04:10:26Z</t>
  </si>
  <si>
    <t>kabupaten sama kota selevel kak... hahahaha bener si kamal...</t>
  </si>
  <si>
    <t>2026-04-01T02:58:52Z</t>
  </si>
  <si>
    <t>Fokus saat maxim lap kringat pakai tisu habis itu tisu di masukin saku, good atitut.</t>
  </si>
  <si>
    <t>2026-02-26T16:37:49Z</t>
  </si>
  <si>
    <t>Greget bgt rasanya. Kamal itu udh bner lho dia. Enzy sama sahil yg salah. Udh salah,ngegas lgi. Kan diajarin di sekolah masa gk tau. Pinter kamal pdhl. Udh bner dia. Di bali itu provinsi dan terdiri dr byk kota. Setiap provinsi itu pny ibukota. Ibukota gk cuma ibukota negara aja tp jg ada ibukota provinsi.</t>
  </si>
  <si>
    <t>2026-04-13T11:48:38Z</t>
  </si>
  <si>
    <t>Kamal tu lucu nya kayak emang,,, ya udah dia aja gitu ga di bikin bikin,,, dan ga di rencana in kata kata yg keluar gitu aja</t>
  </si>
  <si>
    <t>2026-05-07T04:48:33Z</t>
  </si>
  <si>
    <t>Vibesnya kaya Ramadhan ya, acara buka puasa..😅</t>
  </si>
  <si>
    <t>2025-10-14T10:51:44Z</t>
  </si>
  <si>
    <t>kamal sama enzyy pecahh siii🤣</t>
  </si>
  <si>
    <t>2025-10-15T02:31:58Z</t>
  </si>
  <si>
    <t>Podcast enzy terseru sih ini.. ccok bgt sm hostnya</t>
  </si>
  <si>
    <t>2025-10-18T14:09:12Z</t>
  </si>
  <si>
    <t>KAMAL RASYID Host terlucu saat ini 🤣🔥✔</t>
  </si>
  <si>
    <t>2026-04-19T09:53:47Z</t>
  </si>
  <si>
    <t>Udh brapa hari yg gua cari cuma podcash yg ada kamal nya..  😂😂😂😂😂 ngakak mulu gua 😂😂😂</t>
  </si>
  <si>
    <t>2026-06-19T12:22:24Z</t>
  </si>
  <si>
    <t>Kota kabupaten bener si Kamal hahaha</t>
  </si>
  <si>
    <t>2026-06-21T11:59:10Z</t>
  </si>
  <si>
    <t>Host nya humor parah ditambah celetukan Njan yg tiba2😂</t>
  </si>
  <si>
    <t>2025-10-07T01:57:02Z</t>
  </si>
  <si>
    <t>Ati2 njan kata gue mah</t>
  </si>
  <si>
    <t>2025-10-06T11:45:30Z</t>
  </si>
  <si>
    <t>si kamal asbun banget emang😭😭</t>
  </si>
  <si>
    <t>2025-10-22T06:26:14Z</t>
  </si>
  <si>
    <t>Cocok nih Njan diundang di podcast kyk gini...jadi nervosnya Nja ilang dan diskusinya lancar..serta lawaknya juga keluar.sumpah.
lucu bangettt😂😂😂❤</t>
  </si>
  <si>
    <t>2025-10-08T14:30:00Z</t>
  </si>
  <si>
    <t>Njan trauma sering dijailin jadi klo ada yg aneh dikit curiga😂</t>
  </si>
  <si>
    <t>2025-10-07T02:12:08Z</t>
  </si>
  <si>
    <t>Bangga bgt nemenin proses njan yg tadinya kl podcast apa2 hrus brg sm ayahnya kl ga sm ayahnya dia gamau diundang ke podcast2 krn malu, tp skrg dia udh seberani itu bahkan celetukan celetukan nya itu yg tanpa dia sadari sebenernya itu tu lucu wkwk emg darah pelawak mengalir derasss tak akan hilang ya meskipun anaknya milih jd musisi</t>
  </si>
  <si>
    <t>2025-10-14T14:50:45Z</t>
  </si>
  <si>
    <t>Kamaall anjiirr bgt daah,,skt peruut gw ktawa mulu😂😂😂😂😂</t>
  </si>
  <si>
    <t>2026-04-02T09:22:46Z</t>
  </si>
  <si>
    <t>Pengusaha Asbak😭</t>
  </si>
  <si>
    <t>2025-10-08T11:58:34Z</t>
  </si>
  <si>
    <t>cunggg yanggg kesiniii gara garaa adaaa njaaaannnnn!!!!!!</t>
  </si>
  <si>
    <t>2025-10-07T03:11:51Z</t>
  </si>
  <si>
    <t>seru pisan eyy hostnya asikk dan njannya juga bisa ngimbangin dengan celetuk’ an yang lucu😂❤</t>
  </si>
  <si>
    <t>2025-10-13T11:55:01Z</t>
  </si>
  <si>
    <t>Obrolannya enak di denger rame rame.
Minim kata kata kasar 😊
Mantaap mantaappp</t>
  </si>
  <si>
    <t>2025-10-11T15:49:19Z</t>
  </si>
  <si>
    <t>Wah keren jan poto aja sampe melenyot pas kamu nyanyi sampe jatoh lohh😂</t>
  </si>
  <si>
    <t>2025-10-07T11:48:35Z</t>
  </si>
  <si>
    <t>undang kak kev pliss, pengen liat kamal emosi sama tingkahnya kak kev</t>
  </si>
  <si>
    <t>2026-06-08T13:36:26Z</t>
  </si>
  <si>
    <t>45:08 Bakat yang diasah emang nggak bohong, bagus banget suaranya</t>
  </si>
  <si>
    <t>2026-03-26T03:41:06Z</t>
  </si>
  <si>
    <t>Podcas Bahlul bisa Seminggu Sekali nggak ya..
Bagus ne..aku suka.
Biasanya kalo nonton Podcast aku pilih2Bintang Tamunya yang mau ditonton. Tapi ini beda ne..suka lihat Sahil dan Kamal.
Tiap hari Cek ada Video Baru nggak tapi lama ya..3 Minggu sekali kalian ya..</t>
  </si>
  <si>
    <t>2025-10-14T02:06:39Z</t>
  </si>
  <si>
    <t>Pertama kali gua komen di yt selama gua nonton dan bikin akun
Buat sahil ama kamal semangat lu berdua lucu banget apalagi kamal sampe gua muter"semua channel yang ada kamalnya celetukan ama josknya ga pernah ngecewain the best dah kalian berdua jangan ke triggered ama hate comment ya 💪🏻</t>
  </si>
  <si>
    <t>2025-10-06T23:27:16Z</t>
  </si>
  <si>
    <t>Gigi ampe garinggg, perut goyang trs wkwkwk kocak parahhhh 😂😂
Sayang bgt nih podcast harusnya bisa lebih rame lohhh seriuss dah</t>
  </si>
  <si>
    <t>2025-12-19T02:16:29Z</t>
  </si>
  <si>
    <t>Yuk bisa yuk tv bikin acara untuk mereka bertiga gokil sih sumpah kram perut ku</t>
  </si>
  <si>
    <t>2025-10-08T00:32:43Z</t>
  </si>
  <si>
    <t>tau duo bahlul dari podkesmas, kocak bet mereka berdua. apalagi pas podcast sama awwe pican 🤣🤣</t>
  </si>
  <si>
    <t>2025-10-07T04:34:23Z</t>
  </si>
  <si>
    <t>Capee bangt sumpah, ngakak trs , terimaksih host, njan, lophee sekeboon😊</t>
  </si>
  <si>
    <t>2025-12-31T13:09:41Z</t>
  </si>
  <si>
    <t>Undang di podcast nya dong, lucu bgt kaliannn</t>
  </si>
  <si>
    <t>2026-05-07T07:38:40Z</t>
  </si>
  <si>
    <t>kurang lama nih...lagi donk sama Reza Chandika heheee</t>
  </si>
  <si>
    <t>2025-10-01T04:06:47Z</t>
  </si>
  <si>
    <t>Chandika x kamal come back nih</t>
  </si>
  <si>
    <t>2025-10-07T00:37:39Z</t>
  </si>
  <si>
    <t>Pencarian ku selama inj hanya duo bahlul, 😂🎉❤❤</t>
  </si>
  <si>
    <t>2025-10-24T00:18:42Z</t>
  </si>
  <si>
    <t>Sumpah underrated banget episode ini, kocak parah!</t>
  </si>
  <si>
    <t>2026-05-20T17:33:19Z</t>
  </si>
  <si>
    <t>Sedih boleh, jelek jangan 😅😅😅</t>
  </si>
  <si>
    <t>2025-09-30T10:07:41Z</t>
  </si>
  <si>
    <t>Kurang panjang😢</t>
  </si>
  <si>
    <t>2025-10-04T01:20:51Z</t>
  </si>
  <si>
    <t>yang di tunggu-tunggu ,, eh gak di toko parfum</t>
  </si>
  <si>
    <t>2025-09-30T09:38:39Z</t>
  </si>
  <si>
    <t>Keknya lucu kalo ngundang Adi Arkiang ini</t>
  </si>
  <si>
    <t>2025-10-06T04:19:07Z</t>
  </si>
  <si>
    <t>candik 🔥🔥</t>
  </si>
  <si>
    <t>2025-10-03T05:13:58Z</t>
  </si>
  <si>
    <t>Susah cari baju kesiannnn 😂😂😂😂</t>
  </si>
  <si>
    <t>2025-09-30T10:27:08Z</t>
  </si>
  <si>
    <t>selalu ngakak sma cletukan reza chandika😂</t>
  </si>
  <si>
    <t>2026-05-18T23:56:04Z</t>
  </si>
  <si>
    <t>Wow bisa loose weight</t>
  </si>
  <si>
    <t>2026-02-23T02:04:55Z</t>
  </si>
  <si>
    <t>🗣️ Reza Chandika to Kamal : Siapa yang ngangkat kamu tuh? 😂😂</t>
  </si>
  <si>
    <t>2025-10-07T11:53:28Z</t>
  </si>
  <si>
    <t>bikin podcast b3 pst seru</t>
  </si>
  <si>
    <t>2026-06-15T14:17:28Z</t>
  </si>
  <si>
    <t>Tukang parfum kaya tahanan KPK</t>
  </si>
  <si>
    <t>2025-10-01T09:03:54Z</t>
  </si>
  <si>
    <t>MantappGarudahoki,2hari gua wd tross😭</t>
  </si>
  <si>
    <t>2025-09-30T09:23:09Z</t>
  </si>
  <si>
    <t>Kok cm bentar min????</t>
  </si>
  <si>
    <t>2025-09-30T09:21:32Z</t>
  </si>
  <si>
    <t>ini acara kapan dah?</t>
  </si>
  <si>
    <t>2025-09-30T13:52:34Z</t>
  </si>
  <si>
    <t>Toloonggg banget. Gw baru ngikutin duo bahlul ini. Capeeeeee ketawa mulu. Bang Kamaaallllllll maap ye gw baru tau kalo ada lo di dunia ini. Lucu banget cape ngakak gw</t>
  </si>
  <si>
    <t>2026-01-07T06:11:13Z</t>
  </si>
  <si>
    <t>Siapapun bintang tamu di podcast bahlul gaada yang gagal bikin ngakak</t>
  </si>
  <si>
    <t>2026-05-16T15:24:11Z</t>
  </si>
  <si>
    <t>Bisa2 nya kepikiran, 
"Keringat Roki Gerung"
"Sari pati pasar gebang" 🤣🤣🤣</t>
  </si>
  <si>
    <t>2026-05-17T02:44:38Z</t>
  </si>
  <si>
    <t>Weeken ngoprak2 playlist nya duo Bahlul di YT Noice, kecanduan sama.lawakan nya si Kamal 😂😂😂</t>
  </si>
  <si>
    <t>2025-11-22T01:41:52Z</t>
  </si>
  <si>
    <t>aduh kocak banget ini tulang punggung komedi 🤣🤣🤣</t>
  </si>
  <si>
    <t>2026-01-03T10:10:28Z</t>
  </si>
  <si>
    <t>Masyaallah pecah bet dahhhh kamal. 
asbun'a selalu bikin ngakak ampe nangissss😂😂😂😂.
Ajil dito juga kocak juga si yaaa,,,,,bhakakakakk.
sukses trz yaaaa ajil dito and Duo bahlul terutama kamal.</t>
  </si>
  <si>
    <t>2026-04-06T15:18:39Z</t>
  </si>
  <si>
    <t>Mohon inponya yg tau ini podcast bahlul tayang tiap hari apa jam brp yak ? maklum penonton baru salam sukses bang kamal bang sahil</t>
  </si>
  <si>
    <t>2025-09-23T05:15:41Z</t>
  </si>
  <si>
    <t>Baru yutuban lagi langsung marathon nonton 2 bahlul wkwkwk ga kuat 😆 hiburan banget</t>
  </si>
  <si>
    <t>2026-06-21T16:59:29Z</t>
  </si>
  <si>
    <t>Hahaha kok baru nemu yg ini... 
Tulang tulung komedi ini siw... 😅😂😂😂</t>
  </si>
  <si>
    <t>2026-05-05T08:29:41Z</t>
  </si>
  <si>
    <t>astagfirulloh cape ketawa bang kamal kenapa sihh episode ini kelakuannya lagi parah 😂😂😂</t>
  </si>
  <si>
    <t>2025-12-04T07:36:42Z</t>
  </si>
  <si>
    <t>Bener banget kata sahil krn aku pernah ikut kelas Dale Carnegie</t>
  </si>
  <si>
    <t>2026-05-20T17:50:26Z</t>
  </si>
  <si>
    <t>Seru bgt guest nya episode ini.. ngalir bgt jokes sama hostnya hahaha. Jadi fans barunya sahil kamal!</t>
  </si>
  <si>
    <t>2025-10-28T07:46:58Z</t>
  </si>
  <si>
    <t>sumpah first time nonton podcast bahlul, ngakak parah dri awal smpai akhir 😆🤣komedi spontan emng ga ada lawan, dan sukses juga buat filmnya Jil 🙌🏻</t>
  </si>
  <si>
    <t>2025-10-10T02:13:00Z</t>
  </si>
  <si>
    <t>Bang undang Kevin Julio dong biar kembaran sama bang Kama, menurut ku mereka mirib</t>
  </si>
  <si>
    <t>2026-06-24T08:55:07Z</t>
  </si>
  <si>
    <t>ajilll malu ih kemayu GAKUAT KETAWA BANGET LIATNYA TINGKAH LO AJILLL 😭😭😭</t>
  </si>
  <si>
    <t>2026-06-29T08:40:07Z</t>
  </si>
  <si>
    <t>Cape bgt liat Kamal koreo 😭😭</t>
  </si>
  <si>
    <t>2026-06-10T01:56:53Z</t>
  </si>
  <si>
    <t>Kamallll ini pecah selalu 😂</t>
  </si>
  <si>
    <t>2025-09-27T10:40:40Z</t>
  </si>
  <si>
    <t>Yang d tunggu tunggu, lama bener ini</t>
  </si>
  <si>
    <t>2025-09-22T13:11:42Z</t>
  </si>
  <si>
    <t>Sakit perut, ketawa sampe nangis hahahahhaa</t>
  </si>
  <si>
    <t>2026-07-01T03:14:08Z</t>
  </si>
  <si>
    <t>Nonton jam 12 malem, capeeee ngakak terus 🤣🤣🤣
Meskipun agak mellow sama petuahnya bang Sahil buat Ajil di akhir-akhir. Sukses buat karirnya ya jiil trust me, banyak yang sayang sama ajil dan gue salah satunya. Ditunggu project-project lainnya 🤗</t>
  </si>
  <si>
    <t>2025-09-22T18:23:46Z</t>
  </si>
  <si>
    <t>Cuma bertiga tapi kek se-stadion ramenya😭😭😭</t>
  </si>
  <si>
    <t>2025-08-28T13:13:27Z</t>
  </si>
  <si>
    <t>dr. Tirta dan Kamal, cocok jadi model iklan atau endorsment obat darah tinggi generik yg ditanggung BPJS.</t>
  </si>
  <si>
    <t>2026-04-25T11:21:26Z</t>
  </si>
  <si>
    <t>Dr trita keluar dr sini pasti haus banget 😂</t>
  </si>
  <si>
    <t>2026-03-24T00:35:41Z</t>
  </si>
  <si>
    <t>ASLI RAME BANGET.... GIMMICKNYA DAPET... NGGA ADA YANG BAPER....😂😂😂😂😂😂😂😂😂😂😂😂😂😂😂😂😂😂😂😂😂😂😂😂</t>
  </si>
  <si>
    <t>2026-03-01T09:28:38Z</t>
  </si>
  <si>
    <t>Padahal bertiga cuk tapi rame banget ngalahin pasar😭😭😭</t>
  </si>
  <si>
    <t>2026-03-04T13:05:56Z</t>
  </si>
  <si>
    <t>ini produser2 dan kreatif tolong bikinin acara berdua dr. tirta sama kamal</t>
  </si>
  <si>
    <t>2025-08-26T01:26:26Z</t>
  </si>
  <si>
    <t>Kamal + dr tirta = darah tinggi semua 😂😂😂 ngegas mulu</t>
  </si>
  <si>
    <t>2025-10-28T13:46:59Z</t>
  </si>
  <si>
    <t>Kamal harus naik gaji dan di pertahan kan ini,asik banget betah aku nonton</t>
  </si>
  <si>
    <t>2025-08-26T15:04:41Z</t>
  </si>
  <si>
    <t>dokter tirta gausah dikasih mic juga kedengeran itu dari mic hostnya 😂😂😂😂😂😂😂</t>
  </si>
  <si>
    <t>2026-03-11T02:52:37Z</t>
  </si>
  <si>
    <t>Kamal ada lawannya wkwkwk</t>
  </si>
  <si>
    <t>2026-04-03T13:09:52Z</t>
  </si>
  <si>
    <t>Tolong buat Kamal makin terkenal, seneng kali liat dia emosi, jidadnya mengkerut</t>
  </si>
  <si>
    <t>2025-08-27T00:26:20Z</t>
  </si>
  <si>
    <t>Guys, dr.Tirta aslinya baek banget tauuuuuu! Aku ketemu beliau, makan sebelah sebelahan di Cafe di mall, eh, pas kami nyapa, dia nyalamin aku duluan, dong! Mana orangnya sopaaaaan.... lembut..... suerrr 😂😂😂</t>
  </si>
  <si>
    <t>2025-09-02T05:16:52Z</t>
  </si>
  <si>
    <t>Bintang tamu sama hostnya sama2 galak hadeuh olah raga jantung😂😂😂</t>
  </si>
  <si>
    <t>2025-08-25T14:02:28Z</t>
  </si>
  <si>
    <t>Kamal : eh org pinter.... 😅😂😂😂 ngakak gue  . Berani2nya ngegas sama dr tirta</t>
  </si>
  <si>
    <t>2026-04-10T02:52:29Z</t>
  </si>
  <si>
    <t>Menghibur sekali... 
Orang-orangnya pe'a, tapi beneran semua otaknya 😂</t>
  </si>
  <si>
    <t>2026-03-20T14:53:36Z</t>
  </si>
  <si>
    <t>beneran tirta klo lawan bicaranya dibawah dia disikat terus, klo diatas tirta dan ga sombong lalu dikulik tahu ternyata diatas jd soft spoken 😂</t>
  </si>
  <si>
    <t>2025-08-25T11:06:07Z</t>
  </si>
  <si>
    <t>Cino+Arab = menguasai Indonesia 😅😅</t>
  </si>
  <si>
    <t>2025-08-26T23:25:07Z</t>
  </si>
  <si>
    <t>padett bgtt anjirr berantemnya 😂😂😂</t>
  </si>
  <si>
    <t>2025-09-07T14:46:40Z</t>
  </si>
  <si>
    <t>Habis Dari podcast bang radit ke sini</t>
  </si>
  <si>
    <t>2026-06-08T15:16:23Z</t>
  </si>
  <si>
    <t>Bener bener ketemu counter nya ini duo bahlul 🤭🤭🤣🤣🤣🤣🤣🤣
Ngakak banget gue sepanjang nonton</t>
  </si>
  <si>
    <t>2026-03-15T15:08:04Z</t>
  </si>
  <si>
    <t>Ni mohon maaf banget yee tanpa mengurangi rasa hormat, asli sepanjang video gue cuma ngakak sambil bilang : NGOMONG APASII DUSTIINN BANGKEEEEEEE WKWKWKWKWKWK</t>
  </si>
  <si>
    <t>2026-06-12T02:53:12Z</t>
  </si>
  <si>
    <t>Ini aslliii ngakak parahh gue..
Kamal nemu lawan bicara yg bikin urat urat leher nye nongol 😂</t>
  </si>
  <si>
    <t>2026-03-31T13:58:05Z</t>
  </si>
  <si>
    <t>COY RUGI BGT GUA BARU NONTON SKRGGG😭😭😭😭 LUCU BGTTT SIALAANNNN</t>
  </si>
  <si>
    <t>2026-04-24T04:03:24Z</t>
  </si>
  <si>
    <t>Lucu sihhhhh knpa bru tau stelah sliweran ditiktok. 
Promonya krang kali ya . Jd blm bnyk tau. 
Tp asli lucu mreka 😂</t>
  </si>
  <si>
    <t>2025-11-23T05:02:26Z</t>
  </si>
  <si>
    <t>Please trending dong.. Sakit perut banget</t>
  </si>
  <si>
    <t>2026-03-18T19:15:52Z</t>
  </si>
  <si>
    <t>Kamal pinter, nangkep...pas sma Jirayut juga nangkep</t>
  </si>
  <si>
    <t>2026-05-20T04:52:07Z</t>
  </si>
  <si>
    <t>Lu kalau mau ketawa2 cari hiburan di mari sumpah dari menit awal sampe akhir sakit di bikin ngakak😂😂😂😂</t>
  </si>
  <si>
    <t>2025-08-19T06:46:53Z</t>
  </si>
  <si>
    <t>Kok bru tau sihhhh...gw ksni krn mau ngeliat emosi nya pak RT Kamal😂😂😂😂😂😂😂😂😅😅😅</t>
  </si>
  <si>
    <t>2026-05-14T15:17:09Z</t>
  </si>
  <si>
    <t>Sumpahh ngakak sampe nangis gw ya Allah...capekk bgt ni podkes ya</t>
  </si>
  <si>
    <t>2026-01-03T12:02:55Z</t>
  </si>
  <si>
    <t>ngeri banget kamal gitar nya spesial tanpa senar 5 wkwkwk</t>
  </si>
  <si>
    <t>2026-03-07T02:43:56Z</t>
  </si>
  <si>
    <t>😂😂😂😂😂 bisa gak lucu mulu kaga sih lu pada biar ini perut kaga kocok2 bae😂</t>
  </si>
  <si>
    <t>2026-05-04T07:36:47Z</t>
  </si>
  <si>
    <t>Ini lucu banget tau kenapa bisa gk trending</t>
  </si>
  <si>
    <t>2025-08-14T17:10:07Z</t>
  </si>
  <si>
    <t>astaga gue rapet banget ketawanya tapi kok ga rame yaa penontonnya 😂😂😂</t>
  </si>
  <si>
    <t>2026-05-11T14:50:00Z</t>
  </si>
  <si>
    <t>Ini podcast paling menyatu hostnya buat ngertiin bintang tamu.. berpikir keras 😂</t>
  </si>
  <si>
    <t>2026-07-26T15:29:03Z</t>
  </si>
  <si>
    <t>Lucu bgt anjjjjjj🤣🤣🤣🤣🤣🤣🤣🤣</t>
  </si>
  <si>
    <t>2026-01-14T04:23:08Z</t>
  </si>
  <si>
    <t>Kalo nonton podcast ini sangat tidak disarankan sambil makan / minum, keselek brutal 😂</t>
  </si>
  <si>
    <t>2026-06-10T02:41:57Z</t>
  </si>
  <si>
    <t>10:49 ini suara melodynya vincent kn 😂</t>
  </si>
  <si>
    <t>2025-08-19T17:44:21Z</t>
  </si>
  <si>
    <t>Dustin ga pernah nyerah jawab pertanyaan apapun !!
Pertanyaan dijawab jadi Pernyataan sama dustin..
Belibet dan ciamik
Kosa katanya luar biasa !</t>
  </si>
  <si>
    <t>2026-01-09T17:27:11Z</t>
  </si>
  <si>
    <t>Cape banget gue ketawa ya Allah hahaha</t>
  </si>
  <si>
    <t>2025-09-02T08:39:51Z</t>
  </si>
  <si>
    <t>underated bgt duo bahlul ini🤣🤣😭😭🤣🤣</t>
  </si>
  <si>
    <t>2025-10-21T14:24:13Z</t>
  </si>
  <si>
    <t>2026-04-20T07:34:58Z</t>
  </si>
  <si>
    <t>yang ditungguu</t>
  </si>
  <si>
    <t>2025-08-04T09:37:56Z</t>
  </si>
  <si>
    <t>Bang..enak dalam studio gini lebih seru...pecah banget</t>
  </si>
  <si>
    <t>2025-08-04T09:15:36Z</t>
  </si>
  <si>
    <t>Kamal lucu..pinter pula memahami setiap kata mulai dari arafah dan halda ngemong meski dia kesel😂cakep dg rambut modelan ini😂😂</t>
  </si>
  <si>
    <t>2026-05-04T09:08:39Z</t>
  </si>
  <si>
    <t>Ini reupload kah? Kok views sama komennya dikit?</t>
  </si>
  <si>
    <t>2026-04-20T07:34:21Z</t>
  </si>
  <si>
    <t>Waaaa 🤣😂🤣😂</t>
  </si>
  <si>
    <t>2025-08-04T10:27:07Z</t>
  </si>
  <si>
    <t>🤣</t>
  </si>
  <si>
    <t>2025-09-26T07:03:35Z</t>
  </si>
  <si>
    <t>Bang kamal aku sumpahin kamu makin sukses, tersohor terussss! 💕💕</t>
  </si>
  <si>
    <t>2026-04-04T02:31:25Z</t>
  </si>
  <si>
    <t>GILA!!!. Industri hiburan Indonesia berdosa atas talenta kamal kocak abis</t>
  </si>
  <si>
    <t>2025-07-28T11:52:34Z</t>
  </si>
  <si>
    <t>Rifat ini pny kepribadian yg baik meski trkenal g angkuh n  setiap pd klrg 😊..smp skrg msh inget tips dr beliau...jgn nrabas genangan krn brbahaya n merugikan org lain</t>
  </si>
  <si>
    <t>2026-05-10T06:22:27Z</t>
  </si>
  <si>
    <t>Duo bahlul di sini pure banget penyiarnya cara ngomongnya..nanyanya..improvenya..penyiar banget</t>
  </si>
  <si>
    <t>2026-04-19T09:13:36Z</t>
  </si>
  <si>
    <t>Rifat pernah nikah sama wanita arab ,tapi cerai ...trs kembali ke pacar nya yang sekarang jadi istri nya 
Cinta tidak bisa di paksa kan</t>
  </si>
  <si>
    <t>2026-04-16T05:27:09Z</t>
  </si>
  <si>
    <t>Kamal lu nyeletuk asli ada ada aja,, lidah kepotong lah,, kocak bet lu bang kamal!!! Terkenal dikit bs dah lu jadi tulang punggung komedi</t>
  </si>
  <si>
    <t>2025-07-28T13:18:23Z</t>
  </si>
  <si>
    <t>Drifting seperti beladiri, skill yang perlu diasah buat jaga2 kalo dalam kondisi darurat</t>
  </si>
  <si>
    <t>2026-04-05T03:53:41Z</t>
  </si>
  <si>
    <t>Orang sk aja membanding2 kan sahil dan kamal.pdhl mrk itu dua bahlul yg klop cocok sling melengkapi...smg mrk ttp berstu</t>
  </si>
  <si>
    <t>2026-04-19T06:48:56Z</t>
  </si>
  <si>
    <t>kukira nara sumber dulu sombong atau angkuh setelah beberapa tahun mengikuti beliau ternyata wisdom orangnya banyak ilmu otomotif dan mudah berbagi ilmu</t>
  </si>
  <si>
    <t>2026-05-10T03:01:27Z</t>
  </si>
  <si>
    <t>Kamal diradio setara kondre ditv. Selalu kocak</t>
  </si>
  <si>
    <t>2025-07-29T15:26:48Z</t>
  </si>
  <si>
    <t>2026 in emng tahun ny bang kamal sih, semoga tmbah sukses khususny bang kamal</t>
  </si>
  <si>
    <t>2026-04-11T23:31:35Z</t>
  </si>
  <si>
    <t>Lahirnya gak di caesar, tp di kopling😅😅</t>
  </si>
  <si>
    <t>2026-05-08T06:31:19Z</t>
  </si>
  <si>
    <t>Kevin julio versi kocak bahlul😂</t>
  </si>
  <si>
    <t>2025-09-04T19:13:29Z</t>
  </si>
  <si>
    <t>Kamal &amp; sahil is best... 👍👍👍👍</t>
  </si>
  <si>
    <t>2026-04-15T13:18:13Z</t>
  </si>
  <si>
    <t>bang rifat jadi motivator aja gak si..ngasih motivasi sambil rally, keren pasti❤</t>
  </si>
  <si>
    <t>2026-06-18T14:07:19Z</t>
  </si>
  <si>
    <t>Gua jadi demen nontonin si akmal nih, kocak bener</t>
  </si>
  <si>
    <t>2026-04-08T17:00:49Z</t>
  </si>
  <si>
    <t>Kaget juga pas Dua Bahlul gak tau siapa ayah Rifat ... hehehe ... beliau rajanya reli 80/90an</t>
  </si>
  <si>
    <t>2026-04-20T11:39:15Z</t>
  </si>
  <si>
    <t>Gila emg kamal ini terlucu untuk sekarang ini sih</t>
  </si>
  <si>
    <t>2026-04-12T01:39:46Z</t>
  </si>
  <si>
    <t>Mas Rifat keren rendah hati super 👍👍👍👍👍</t>
  </si>
  <si>
    <t>2026-06-15T04:41:20Z</t>
  </si>
  <si>
    <t>lord rifato</t>
  </si>
  <si>
    <t>2025-07-28T13:16:32Z</t>
  </si>
  <si>
    <t>Telat banget nontonin yang ada mami Nunungnya. Sedih pas mami nunung bilang "cuma mau ditanya kabar aja". Padahal ibunya gak minta uang anak2nya, tapi anak2nya gak ada yang peka. Semoga mami nunung sama suami, makin jaya, kaya, sehat, bahagia dan panjang umur aamiin. Jangan terlalu mikirin orang lain ada kalanya kita harus egois mikirin diri sendiri dan sayangi diri sendiri.</t>
  </si>
  <si>
    <t>2026-05-10T06:50:06Z</t>
  </si>
  <si>
    <t>Mami Nunung, lepaskanlah anak2 dan kerabatmi biar mereka mandiri sekarang pikirkanlah dirimu sendiri yaaa ❤ sehat selalu ya mami ❤❤</t>
  </si>
  <si>
    <t>2026-01-12T03:59:42Z</t>
  </si>
  <si>
    <t>“Kepala pundak langsung kaki” the best 😂😂😂</t>
  </si>
  <si>
    <t>2026-04-19T06:52:56Z</t>
  </si>
  <si>
    <t>UNDANG INDI BARENT PLEASEEEEEE SERU DAN PECAH BANGET PASTI</t>
  </si>
  <si>
    <t>2025-10-17T11:38:26Z</t>
  </si>
  <si>
    <t>Jangan kasih umpan terus... Bener bangt mami nunung... Terbiasa manja entar...</t>
  </si>
  <si>
    <t>2026-03-17T13:52:45Z</t>
  </si>
  <si>
    <t>Kamal termasuk yg cepet mikir klo ditembak.. Klo konsisten bakal cepet naek. market org Arab lucu msh jarang di indo</t>
  </si>
  <si>
    <t>2025-12-26T18:21:42Z</t>
  </si>
  <si>
    <t>Gue telat ….tpai sumpah nih podcast ngehibur bgt ….gue sumpahin lu berdua selalu kocak .buat mami Nunung sehat selalu tambah tambah lagi rejekinya</t>
  </si>
  <si>
    <t>2026-04-03T09:44:27Z</t>
  </si>
  <si>
    <t>kurang promo ni dua bahlul, podcast seru gini, tapi kurang rame, lebih gencar lagi promoin di sosmed2</t>
  </si>
  <si>
    <t>2025-10-18T02:37:00Z</t>
  </si>
  <si>
    <t>cocok klo bintang tamunya komedian gini, tektokannya cepet banget mami nunung, coba datengin ex srimulat yg lain min...seruu</t>
  </si>
  <si>
    <t>2026-05-04T01:53:35Z</t>
  </si>
  <si>
    <t>Keliatan bangat beliau ke muak sm keluarganya sampe berceritapun dia ke semangat ngeluarin segala uneg2nya selama ini beliau rasain.sampai dou bahlul aja ke ikut terharu dn rasa simpati mrka keliatan krn disaat mami bercirta ke bnr2 nyimak dn jdi pendengar yg baik.</t>
  </si>
  <si>
    <t>2026-03-31T04:43:23Z</t>
  </si>
  <si>
    <t>Hidup seperti tanaman. Apa yang kita tanam itu yg kita tuai. Jadi, berikanlah kebaikan ke setiap orang yg kamu temui, niscaya kebaikan itu akan kembali.</t>
  </si>
  <si>
    <t>2025-10-25T04:17:16Z</t>
  </si>
  <si>
    <t>Ngefans banget sama kamal 😂😂😂</t>
  </si>
  <si>
    <t>2025-10-25T04:14:39Z</t>
  </si>
  <si>
    <t>Host sama mami nunung keren keren banget sr mulai podcast sampe habis kocak nya bangett</t>
  </si>
  <si>
    <t>2025-07-21T17:00:18Z</t>
  </si>
  <si>
    <t>Umur 62, berkomedi dr umur 16...46 thn dong bahlulllll 😅😅😂</t>
  </si>
  <si>
    <t>2026-04-14T22:53:13Z</t>
  </si>
  <si>
    <t>Habis nonton yang episode oki Rengga jadi nontonin video yang lain 😍</t>
  </si>
  <si>
    <t>2025-07-23T14:06:58Z</t>
  </si>
  <si>
    <t>Gak expect bakal lucu... tp eps ini PETJAH bgt!!! 
Salut sama mami Nunung bisa ngimbangin lawakan duo bahlul.✨️🙌👏🏻👏🏻👏🏻</t>
  </si>
  <si>
    <t>2025-11-13T00:00:34Z</t>
  </si>
  <si>
    <t>Kok nyambung dan lucu banget 😂</t>
  </si>
  <si>
    <t>2025-07-22T01:23:44Z</t>
  </si>
  <si>
    <t>Duo bahlul naik daun sekarang. Dengan bintang tamu Nunung, lucu nih. Jadi nonton Duo bahlul, lucu kocak ketawa, kecuali bintang tamunya yg sengak.</t>
  </si>
  <si>
    <t>2026-03-19T15:17:49Z</t>
  </si>
  <si>
    <t>sedih bgt dgr cerita mami nunung,, klo dket pengen peluk mami😢,, ibu ku malah ninggalin kmi,, demi laki " baru, dr kecil ade" q gatau apa itu ksh syg ibu,, sehat" mami❤</t>
  </si>
  <si>
    <t>2026-04-13T01:26:53Z</t>
  </si>
  <si>
    <t>Asli kalo Nunung hadir di podcast2 selalu ada haru dan ngakak</t>
  </si>
  <si>
    <t>2026-01-07T05:58:18Z</t>
  </si>
  <si>
    <t>Trimakasih telah mengundang The lord Coki Uranium Saset, Penulis Kitab Sutasoma 🙏</t>
  </si>
  <si>
    <t>2026-03-20T09:18:43Z</t>
  </si>
  <si>
    <t>Coki Anwar nahan tawa adalah puncak komedi</t>
  </si>
  <si>
    <t>2025-07-24T02:17:02Z</t>
  </si>
  <si>
    <t>Terbukti emang bang kamal lucu banget, sampai manusia terkuat aja ketawa terus 😂😂</t>
  </si>
  <si>
    <t>2025-12-24T09:35:09Z</t>
  </si>
  <si>
    <t>Duo bahlul klo ketemu komika yg persona kuat... Pecah.. req indra frimawan dong</t>
  </si>
  <si>
    <t>2026-04-23T14:48:54Z</t>
  </si>
  <si>
    <t>Ahirnya Anwar gak bisa nahan tawa</t>
  </si>
  <si>
    <t>2026-03-15T18:18:24Z</t>
  </si>
  <si>
    <t>Baju duo bahlul episode kali ini. Buagusss pol.. fit bgt di badan.. warna juga bagus💕</t>
  </si>
  <si>
    <t>2025-11-08T18:02:10Z</t>
  </si>
  <si>
    <t>Ngundang Fajar sad boy dong</t>
  </si>
  <si>
    <t>2025-09-07T12:34:17Z</t>
  </si>
  <si>
    <t>Orang ber 3 ini lucu banget astagaaaa 😂😂 sampe nangis2.</t>
  </si>
  <si>
    <t>2026-03-23T09:15:15Z</t>
  </si>
  <si>
    <t>Lama2 gw demen ma di 2 bahlul..dia yg ngerjain dia juga yg klengger haaaa</t>
  </si>
  <si>
    <t>2026-05-23T07:27:45Z</t>
  </si>
  <si>
    <t>lagi sakit perut nonton ini makin mules anjir wkwkw kinshasa di Kongo woii</t>
  </si>
  <si>
    <t>2026-01-16T18:20:58Z</t>
  </si>
  <si>
    <t>ayooo coki Anwar bikin special showw.  pasti gw beli tiketnya 😊</t>
  </si>
  <si>
    <t>2025-07-15T14:52:05Z</t>
  </si>
  <si>
    <t>Tekab  team khusus anti bandit...cmiiw</t>
  </si>
  <si>
    <t>2026-06-26T15:08:46Z</t>
  </si>
  <si>
    <t>4:01 Laugh reveal nih😂😂</t>
  </si>
  <si>
    <t>2026-02-25T18:54:29Z</t>
  </si>
  <si>
    <t>Wong Pati Jawa Tengah Iko Tonggo Dewe jebule ..kak coki</t>
  </si>
  <si>
    <t>2025-09-01T12:42:55Z</t>
  </si>
  <si>
    <t>yang Istiqomah yaa kaliannn sukakk bangettt😂</t>
  </si>
  <si>
    <t>2025-07-14T13:00:30Z</t>
  </si>
  <si>
    <t>Baru nonton setelah lebaran, aduh ketawa terus 😂😂</t>
  </si>
  <si>
    <t>2026-03-26T04:38:36Z</t>
  </si>
  <si>
    <t>Seorang coki klo sudah ketawa brrti kalian sukses ngelucu,,suka sama kamal reaksinya,,😂</t>
  </si>
  <si>
    <t>2026-04-02T04:13:07Z</t>
  </si>
  <si>
    <t>bendahara detasemen.. ampe nangis 🤣🤣🤣</t>
  </si>
  <si>
    <t>2026-07-07T06:53:29Z</t>
  </si>
  <si>
    <t>Itu bahlul yg selain Kamal, kakak tingkat waktu kuliah? Tua candaannya mirip sama tamunya. 😮</t>
  </si>
  <si>
    <t>2026-05-01T14:20:31Z</t>
  </si>
  <si>
    <t>Cuma Duo Bahlul yang bisa bikin bang Coki terus2an nutupin bibir biar ga ketauan doi nahan ketawa. Biasanya doi kuat bukan cuma badannya tapi kuat juga nahan ketawa, disini doi lemah 😆</t>
  </si>
  <si>
    <t>2026-04-08T08:46:39Z</t>
  </si>
  <si>
    <t>lucunya tuh celetukannya kamal gak pernah gagal, selalu lucu, gak bikin kesel, meskipun kta2 kasar, tp bisa diterima wkwk cocok bgt karakternya</t>
  </si>
  <si>
    <t>2026-05-09T17:50:59Z</t>
  </si>
  <si>
    <t>Kamal lama² mukanya kek mr.bean 😅😅😅😅</t>
  </si>
  <si>
    <t>2026-04-01T01:33:17Z</t>
  </si>
  <si>
    <t>Sinyo mah de best pokonya 😍😍😍</t>
  </si>
  <si>
    <t>2025-11-10T07:28:47Z</t>
  </si>
  <si>
    <t>Rek bsi ribet pak, klo gagal transaksi byond dananya g drefund pak, lapor k cs jg gd hasil 😂😂😂</t>
  </si>
  <si>
    <t>2025-07-09T09:46:14Z</t>
  </si>
  <si>
    <t>TRIO BAHLULNYOOO... Sukaa banget❤ bercandaannya lucuuu😍</t>
  </si>
  <si>
    <t>2026-06-12T11:09:06Z</t>
  </si>
  <si>
    <t>nunggu podcast umum sama mas brewog dong</t>
  </si>
  <si>
    <t>2025-07-10T03:24:04Z</t>
  </si>
  <si>
    <t>bertiga heboh benerrrr.kkwkk</t>
  </si>
  <si>
    <t>2026-06-12T10:08:54Z</t>
  </si>
  <si>
    <t>Duo bahlul.....idola gw❤❤❤❤</t>
  </si>
  <si>
    <t>2026-07-18T13:25:37Z</t>
  </si>
  <si>
    <t>Kamal nyadar gak sih mukanya suka tampak kayak mr bean😂</t>
  </si>
  <si>
    <t>2026-06-04T13:14:47Z</t>
  </si>
  <si>
    <t>"rohman yg satu cabang ama julkaedah" 😭😂</t>
  </si>
  <si>
    <t>2026-06-12T16:49:01Z</t>
  </si>
  <si>
    <t>Reza chandika dong</t>
  </si>
  <si>
    <t>2025-07-14T19:19:01Z</t>
  </si>
  <si>
    <t>gasss</t>
  </si>
  <si>
    <t>2025-07-09T20:26:50Z</t>
  </si>
  <si>
    <t>nyembah jemuran...😂😂😂😂😂😂</t>
  </si>
  <si>
    <t>2026-05-24T04:38:43Z</t>
  </si>
  <si>
    <t>Bsi preeet preet</t>
  </si>
  <si>
    <t>2026-04-17T11:04:48Z</t>
  </si>
  <si>
    <t>#bsiinternationalexpo</t>
  </si>
  <si>
    <t>2025-07-21T03:18:31Z</t>
  </si>
  <si>
    <t>mohon bedakan "kami", dengan "kita".
Kami: pembicara + orang lain, tidak termasuk lawan bicara.
Kita: pembicara + lawan bicara (semua pihak terlibat).</t>
  </si>
  <si>
    <t>2026-03-24T18:43:20Z</t>
  </si>
  <si>
    <t>Hmmm...gak mudeng bahasannya, yang paham cuma mereka bertiga. Masih lebih masuk sama yang acaranya Rifat Sungkar yng live podcastnya duo bahlul. Podcast kali ini: 👎</t>
  </si>
  <si>
    <t>2026-04-05T08:06:35Z</t>
  </si>
  <si>
    <t>Aku kesini setelah nonton duo bahlul dipodcast Agak Laen. Lucu parah, ngakak, komedi khas tongkrongan bgt.. gawat ini duo bahlul.😂😂😂</t>
  </si>
  <si>
    <t>2025-10-20T16:13:46Z</t>
  </si>
  <si>
    <t>Hadir kesini setelah nonton podcast agak laen, petjahhhh!!!</t>
  </si>
  <si>
    <t>2025-10-21T02:56:18Z</t>
  </si>
  <si>
    <t>Aku baru tau duo bahlul negara nonton pwk nya gofar, capek bgt mukaku ketawa. Lanjut kesini dan ke podcast lain. Yg paling lucu sama dr. Tirta.</t>
  </si>
  <si>
    <t>2026-03-31T12:00:07Z</t>
  </si>
  <si>
    <t>Mampir kesini setelah nonton duo bahlul di podcast agak laen. Heboh kali ya 3 orang aja 🤣</t>
  </si>
  <si>
    <t>2025-10-21T04:32:20Z</t>
  </si>
  <si>
    <t>kesini karna agak laen
tapi bapak kamal emg oecah sih,, kalau senyum/ketawa mirip keju, kalau mode normal kek kemal wkwk</t>
  </si>
  <si>
    <t>2025-10-23T12:38:15Z</t>
  </si>
  <si>
    <t>selalu seru dimanapun Ori Kengga berada 😂</t>
  </si>
  <si>
    <t>2025-07-02T06:43:16Z</t>
  </si>
  <si>
    <t>Bwahahahah endingnya kocak bgt kalo Vincent Desta terlalu mahal ini lebih affordable🤣🤣🤣🤣</t>
  </si>
  <si>
    <t>2025-10-21T06:22:04Z</t>
  </si>
  <si>
    <t>40:21  chaos banget😂😂😂</t>
  </si>
  <si>
    <t>2026-03-18T22:11:48Z</t>
  </si>
  <si>
    <t>Terbaik terlucu terngakak terrrrrr semua..goodjob buat kalian..❤</t>
  </si>
  <si>
    <t>2025-07-03T07:05:32Z</t>
  </si>
  <si>
    <t>Kamal lucu banget nih. Kamal ready jadi ARTIS!</t>
  </si>
  <si>
    <t>2025-07-04T09:36:15Z</t>
  </si>
  <si>
    <t>Nonton kesini gara" nonton podcash sama  si halda di ada podcash ngakak bgt wkwkwk</t>
  </si>
  <si>
    <t>2025-11-26T14:46:53Z</t>
  </si>
  <si>
    <t>Setelah nonton podcast yg sama Sania Leonardo... akhirnya keterusan nonton podcast mereka</t>
  </si>
  <si>
    <t>2025-12-30T07:53:33Z</t>
  </si>
  <si>
    <t>Oky kocaaak... Bahlul juga... Pertahankan kreatifitasnya buat gk bosen❤</t>
  </si>
  <si>
    <t>2025-12-07T23:55:37Z</t>
  </si>
  <si>
    <t>langsung ke sini abis nonton agak laen yg bintang tamunya mereka berdua, emang bener2 kocak</t>
  </si>
  <si>
    <t>2025-11-19T04:54:26Z</t>
  </si>
  <si>
    <t>Ketua Ori Kengga memangg patennnn......</t>
  </si>
  <si>
    <t>2025-07-03T04:14:01Z</t>
  </si>
  <si>
    <t>1:01:21 sampe habis ya Allah Kamal kocak bgt, kepikiran aja nyamain sm kakeknya yg udah meninggal. orang kok lucunya gak abis2, wkwkw</t>
  </si>
  <si>
    <t>2025-10-27T12:51:52Z</t>
  </si>
  <si>
    <t>Bang oki itu sebenarnya marahnya krn sebab membela yg bner &amp; meluruskan yg salah. Tp efeknya nanti imbasnya ke pelampiasan makanya dia cpet sadar n berobat. Tp usahakan seperti itu ajh bang oki jd membela kaum yg lemah yg tertindas apalagi mengajak kebenaran dlm agama dg meluruskan yg salah. 😊</t>
  </si>
  <si>
    <t>2026-01-03T01:06:06Z</t>
  </si>
  <si>
    <t>Hbs nonton beritax mpok alpa nangis....
Terus kesini ketawa2....
Kata suami kite gile 😂😂</t>
  </si>
  <si>
    <t>2025-08-27T05:49:43Z</t>
  </si>
  <si>
    <t>Ini yg paling pecah, seru kalo ngobrol kek gini</t>
  </si>
  <si>
    <t>2025-07-06T18:27:19Z</t>
  </si>
  <si>
    <t>Dimana ada kak oki disitu ada aku aku akuuuuu 😂😂😂😂😍😍😍😍😍😍
Petchaaaaaaaahh 🎉🎉🎉🎉🎉🎉</t>
  </si>
  <si>
    <t>2025-07-15T11:48:24Z</t>
  </si>
  <si>
    <t>Ternyata alm Gustiwiw di masa akhir hidupnya lagi ON yaa ada dimana2❤❤❤❤</t>
  </si>
  <si>
    <t>2025-10-04T08:03:47Z</t>
  </si>
  <si>
    <t>Aduh pas moment Gusti in frame dari ketawa langsung nangis gue!!! Karena little did we know that's gonna be the last time Gusti siaran. You SURELY will be missed Gustiii. ♥️</t>
  </si>
  <si>
    <t>2025-06-25T18:17:09Z</t>
  </si>
  <si>
    <t>Ya Allah ada almarhum gusti, merinding sebadan2.
4 hari kebelakang ini lagi maraton podcast2 duo bahlul karena merasa sangat terhibur dengan bercandaan kamal.
Sering kepikir seandainya Gusti masih ada pasti pecah banget ini mereka. Makanya merinding banget pas muncul gusti disini 😢😢
AlFatihah untuk Gusti 🤲</t>
  </si>
  <si>
    <t>2026-04-21T15:40:05Z</t>
  </si>
  <si>
    <t>kenapa dengerin Tora berasa capek banget ya, kaya yg orang kehabisan nafas</t>
  </si>
  <si>
    <t>2026-02-16T16:02:36Z</t>
  </si>
  <si>
    <t>Kesini stlh podcast agak laen. 
Rajin muter muter podcast utk jualan ya bahlul, biar banyak yg tau.</t>
  </si>
  <si>
    <t>2025-10-27T02:26:03Z</t>
  </si>
  <si>
    <t>bisa ga Duo Bahlul tayangnya tiap hari?? love banget sama Camel Sahil 😌😌</t>
  </si>
  <si>
    <t>2025-06-26T03:11:02Z</t>
  </si>
  <si>
    <t>baru tau alm. gusti wiw kerja disini. al fatiha untuk almarhum. :')</t>
  </si>
  <si>
    <t>2025-06-24T03:56:27Z</t>
  </si>
  <si>
    <t>Anjir lah galfok helm keren d pake pak tora jadi helm mainan 😂😂😂 jadi helm anak kecil 😂😂😂</t>
  </si>
  <si>
    <t>2026-01-02T12:29:36Z</t>
  </si>
  <si>
    <t>tiap liat podcast bahlul lgsg inget almarhum gustiwiw</t>
  </si>
  <si>
    <t>2025-06-23T12:42:58Z</t>
  </si>
  <si>
    <t>Ngga nyangka udh 52, gw liat dia muda mulu, kek 40 terus liatnya</t>
  </si>
  <si>
    <t>2026-06-07T09:14:34Z</t>
  </si>
  <si>
    <t>Ada Alm. Gustiwiw 😢 Al-Fatihah 🤲</t>
  </si>
  <si>
    <t>2025-06-26T07:36:45Z</t>
  </si>
  <si>
    <t>impersonate bijinya gokil 😆</t>
  </si>
  <si>
    <t>2025-06-24T04:05:24Z</t>
  </si>
  <si>
    <t>Mantep bintang tamunya...asbun bgt ahhahaha</t>
  </si>
  <si>
    <t>2026-06-01T04:01:50Z</t>
  </si>
  <si>
    <t>Masyaallah, kaget bgt wktu liat alm. Gusti, aku kira aku salah liat 😢</t>
  </si>
  <si>
    <t>2025-10-28T11:48:11Z</t>
  </si>
  <si>
    <t>Buat paTora, urut ke Pa Haris di Purwakarta, cujup baik ko.</t>
  </si>
  <si>
    <t>2026-05-30T07:59:30Z</t>
  </si>
  <si>
    <t>Menyala Duo bahlul❤❤❤ ayo kompak terus m lu keren berdua aja tp rame wkwkwkwkw</t>
  </si>
  <si>
    <t>2026-04-04T00:58:06Z</t>
  </si>
  <si>
    <t>Baru nonton episode ini, tau-tau muncul Alm. Gusti, langsung merinding sedih :((((((((</t>
  </si>
  <si>
    <t>2026-06-03T07:05:30Z</t>
  </si>
  <si>
    <t>ngakakkk bgt ampe nangis pas kamal meranin jadi 'biji' 🤣🤣🤣🤣🤣🤣</t>
  </si>
  <si>
    <t>2025-06-26T05:43:16Z</t>
  </si>
  <si>
    <t>Dilihat lihat muka om toro, mirip vincent yee</t>
  </si>
  <si>
    <t>2025-12-06T08:32:12Z</t>
  </si>
  <si>
    <t>😂😂😂😂 mukanya famili mart</t>
  </si>
  <si>
    <t>2026-04-04T08:47:31Z</t>
  </si>
  <si>
    <t>Salut sama mereka ber2, hanya di sini Berli tdk mendapat perlakuan yg melecehkan.</t>
  </si>
  <si>
    <t>2026-05-13T14:25:06Z</t>
  </si>
  <si>
    <t>Kamal GK pandang bulu mau cantik mau jelek dia setarakan hampir semua tamu dia marahin😂😂</t>
  </si>
  <si>
    <t>2026-03-17T13:55:59Z</t>
  </si>
  <si>
    <t>Gue cuma pengen liat si Kamal marah2 doang😂</t>
  </si>
  <si>
    <t>2026-05-09T01:39:18Z</t>
  </si>
  <si>
    <t>Berli ini bukan kosong tp lbh ke polos bgt. Klo kosong ga mungkin bisa buat prosa yg meaningful 34:20. Sptnya dia kurang pede aja disini soalnya gw pernah liat dia di podcast lain responnya bagus koq, ga kosong. Tp overall episode ini kocak sih justru bintang tamu kyk gini yg bikin Kamal bisa emosi bgt wkwkwk</t>
  </si>
  <si>
    <t>2026-06-22T05:15:54Z</t>
  </si>
  <si>
    <t>Undang vior dong kyknya bakal lucu bgt</t>
  </si>
  <si>
    <t>2026-04-01T14:04:21Z</t>
  </si>
  <si>
    <t>Cocok ni Kamal sama Berli sama sama enteng mulutnya 🤣🤣</t>
  </si>
  <si>
    <t>2025-06-16T10:09:44Z</t>
  </si>
  <si>
    <t>Dari awal mulai àku udah ngakak banget ...asli sampe keluar air mata😂😂😂</t>
  </si>
  <si>
    <t>2025-07-21T06:10:16Z</t>
  </si>
  <si>
    <t>capek bgt ga sih jokes harus dijelasin 😁😁😁</t>
  </si>
  <si>
    <t>2025-09-22T11:37:40Z</t>
  </si>
  <si>
    <t>Sahil kagak bisa ngontrol mata, ga ngehargain perasaan Rania meski cuma konten</t>
  </si>
  <si>
    <t>2026-03-27T07:38:00Z</t>
  </si>
  <si>
    <t>Mata Sahil gak bisa bohong ya 😂😂😂😂😂</t>
  </si>
  <si>
    <t>2025-09-17T00:14:40Z</t>
  </si>
  <si>
    <t>Sahil matanya fokus bgt😂😂😂😂</t>
  </si>
  <si>
    <t>2026-04-02T07:41:32Z</t>
  </si>
  <si>
    <t>suka suka lo Kamaaallllllll 😂 ya Tuhan, happy bangettttttt nonton episode ini ke 2x 😅</t>
  </si>
  <si>
    <t>2026-03-14T21:16:28Z</t>
  </si>
  <si>
    <t>Wkwkwkwk demen bgt gue kalo si kamal emosi😂 singkat padat "DIEM LU"😂 PECAHHHHHHH ANJIR AWOAKWOWKWOK</t>
  </si>
  <si>
    <t>2026-06-21T13:15:15Z</t>
  </si>
  <si>
    <t>Berlin ga paham joks²😭🤣</t>
  </si>
  <si>
    <t>2026-01-18T08:26:23Z</t>
  </si>
  <si>
    <t>cape bgt😂</t>
  </si>
  <si>
    <t>2025-06-16T13:37:27Z</t>
  </si>
  <si>
    <t>Kamal lucu bgt ekwkwkwkw</t>
  </si>
  <si>
    <t>2025-09-26T04:25:43Z</t>
  </si>
  <si>
    <t>Cape banget kan kalo bintang nya kosong 🤣</t>
  </si>
  <si>
    <t>2026-05-06T01:18:29Z</t>
  </si>
  <si>
    <t>Kamal ga ada perlawanan</t>
  </si>
  <si>
    <t>2025-06-17T01:24:34Z</t>
  </si>
  <si>
    <t>Sumpah gue ga berhenti ketawa dari awal sampe akhir gara gara ini orang lucu banget si kemal dan si siapa satu lagi bagian mancing sama ketawa Mulu kalau gue jadi dia gue juga pasti ketawa Mulu gara gara si kemal lucu banget sumpah semoga panjang ada terus bisa menghibur gue terus dan semua orang amin</t>
  </si>
  <si>
    <t>2026-01-06T15:55:19Z</t>
  </si>
  <si>
    <t>Wkwkwkwkwkkwkwk sumpahhh ngakak bangettt...ga brenti2 ngakak gara2 Kamal mati kutu ama berli yg jawab ga mikir en bikin Kamal naik pitam!! plus Sahil statementnya dipatahin berli molo😂😂😂😂😂😂😂 ampe mulesss gw!</t>
  </si>
  <si>
    <t>2026-05-10T17:13:52Z</t>
  </si>
  <si>
    <t>Setelah g ada podhub aq lgsung pindah sini😅</t>
  </si>
  <si>
    <t>2025-11-17T04:39:40Z</t>
  </si>
  <si>
    <t>saya siap marathon dri episode ini smpe akhir... karena lucu bgd d'podcast ancur...</t>
  </si>
  <si>
    <t>2025-08-22T10:36:33Z</t>
  </si>
  <si>
    <t>demn lucu bgt ni orang, fresssh new, the new trend ini.</t>
  </si>
  <si>
    <t>2025-09-23T07:59:05Z</t>
  </si>
  <si>
    <t>Nyelem noice buat nontonin kamal nya doank</t>
  </si>
  <si>
    <t>2026-05-21T05:26:46Z</t>
  </si>
  <si>
    <t>2025-06-02T15:01:31Z</t>
  </si>
  <si>
    <t>siapa ngira duo bahlul ngetop dan naik di th. 2026....ada dimana-mana dan podcast mana2.</t>
  </si>
  <si>
    <t>2026-04-30T12:51:39Z</t>
  </si>
  <si>
    <t>Undang Jirayut deh 😂</t>
  </si>
  <si>
    <t>2025-12-31T10:06:03Z</t>
  </si>
  <si>
    <t>Eeh... Kamal Rasyid 🧐
*_Lo Jakarta Bangeet...._*</t>
  </si>
  <si>
    <t>2025-06-05T02:19:31Z</t>
  </si>
  <si>
    <t>baru tau adidas ngeluarin gamis ya</t>
  </si>
  <si>
    <t>2025-10-30T14:38:41Z</t>
  </si>
  <si>
    <t>Ini episode pertama tapi Kamal udah lihai banget, punchlines nya byk</t>
  </si>
  <si>
    <t>2026-04-27T00:56:22Z</t>
  </si>
  <si>
    <t>Sukaaaaaa duo bahlul bersatu di podcast</t>
  </si>
  <si>
    <t>2025-06-03T04:35:16Z</t>
  </si>
  <si>
    <t>Jirayut , boiyen, Anwar, Dicky difie pasti pecah klo diundang</t>
  </si>
  <si>
    <t>2026-04-22T16:45:11Z</t>
  </si>
  <si>
    <t>Bang kamal ngapa lucu bgt sih🤣</t>
  </si>
  <si>
    <t>2025-08-27T10:45:13Z</t>
  </si>
  <si>
    <t>Mantap bahlul akhirnya keliatan, gak suara nya mulu ya hahaha</t>
  </si>
  <si>
    <t>2025-06-03T00:54:41Z</t>
  </si>
  <si>
    <t>semoga panjang ini bahlul 😂😂</t>
  </si>
  <si>
    <t>2025-09-15T13:54:57Z</t>
  </si>
  <si>
    <t>Astaghfirullah. Ngakak bgt. Bisa ga ini seminggu tayang 3x 😅😅😅😅😅😅😅😅</t>
  </si>
  <si>
    <t>2025-06-02T16:37:40Z</t>
  </si>
  <si>
    <t>Kamal kocak banget asli</t>
  </si>
  <si>
    <t>2025-06-21T12:43:26Z</t>
  </si>
  <si>
    <t>Kreatif banget konsep nya Toko parfum arab 👍👏😄</t>
  </si>
  <si>
    <t>2025-06-02T16:27:10Z</t>
  </si>
  <si>
    <t>Lucu bgt,,  nyelam duo bahlul smpe sini 😅😅</t>
  </si>
  <si>
    <t>2026-05-15T04:11:08Z</t>
  </si>
  <si>
    <t>ini adalah episode .. setelah semua episode saya tentang podcat bahlil beserta podcat luar yg ada podcast bahlul nya.</t>
  </si>
  <si>
    <t>2026-06-12T13:37:38Z</t>
  </si>
  <si>
    <t>Money/Scandal</t>
  </si>
  <si>
    <t>Religious/Spiritual (non-Ramadan)</t>
  </si>
  <si>
    <t>11939.0</t>
  </si>
  <si>
    <t>Relationship/Household</t>
  </si>
  <si>
    <t>Ramadan/Religious-Special</t>
  </si>
  <si>
    <t>22313.9</t>
  </si>
  <si>
    <t>Conflict/Drama</t>
  </si>
  <si>
    <t>20465.2</t>
  </si>
  <si>
    <t>Personal Story/Other</t>
  </si>
  <si>
    <t>avg_like_ratio</t>
  </si>
  <si>
    <t>avg_views_per_day</t>
  </si>
  <si>
    <t>jumlah_video</t>
  </si>
  <si>
    <t>topic_category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</si>
</sst>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2"/>
      <color theme="1"/>
      <name val="Arial"/>
      <family val="2"/>
      <scheme val="minor"/>
    </font>
    <font>
      <sz val="10"/>
      <color theme="1"/>
      <name val="Arial"/>
      <family val="2"/>
    </font>
    <font>
      <sz val="10"/>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xf numFmtId="19" fontId="2" fillId="0" borderId="0" xfId="0" applyNumberFormat="1" applyFont="1"/>
    <xf numFmtId="0" fontId="3" fillId="0" borderId="0" xfId="0" applyFont="1"/>
    <xf numFmtId="0" fontId="2" fillId="0" borderId="0" xfId="0" applyFont="1" applyAlignment="1">
      <alignment horizontal="right"/>
    </xf>
    <xf numFmtId="0" fontId="3" fillId="0" borderId="0" xfId="0" applyFont="1" applyAlignment="1">
      <alignment vertical="center"/>
    </xf>
    <xf numFmtId="0" fontId="3" fillId="0" borderId="0" xfId="0" applyFont="1" applyAlignment="1">
      <alignment vertical="center" wrapText="1"/>
    </xf>
    <xf numFmtId="1" fontId="3" fillId="0" borderId="0" xfId="0" applyNumberFormat="1" applyFont="1"/>
    <xf numFmtId="0" fontId="3" fillId="0" borderId="0" xfId="0" quotePrefix="1" applyFont="1"/>
    <xf numFmtId="0" fontId="1" fillId="0" borderId="0" xfId="1"/>
    <xf numFmtId="20" fontId="1" fillId="0" borderId="0" xfId="1" applyNumberFormat="1"/>
    <xf numFmtId="46" fontId="1" fillId="0" borderId="0" xfId="1" applyNumberFormat="1"/>
  </cellXfs>
  <cellStyles count="2">
    <cellStyle name="Normal" xfId="0" builtinId="0"/>
    <cellStyle name="Normal 2" xfId="1" xr:uid="{D387BE7A-45BF-2642-9A1B-4F400CBCA6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52"/>
  <sheetViews>
    <sheetView topLeftCell="B4" workbookViewId="0"/>
  </sheetViews>
  <sheetFormatPr baseColWidth="10" defaultColWidth="12.6640625" defaultRowHeight="15.75" customHeight="1" x14ac:dyDescent="0.15"/>
  <sheetData>
    <row r="1" spans="1:11" ht="15.75" customHeight="1" x14ac:dyDescent="0.15">
      <c r="A1" s="1" t="s">
        <v>0</v>
      </c>
      <c r="B1" s="1" t="s">
        <v>1</v>
      </c>
      <c r="C1" s="2" t="s">
        <v>2</v>
      </c>
      <c r="D1" s="1" t="s">
        <v>3</v>
      </c>
      <c r="E1" s="1" t="s">
        <v>4</v>
      </c>
      <c r="F1" s="1" t="s">
        <v>5</v>
      </c>
      <c r="G1" s="1" t="s">
        <v>6</v>
      </c>
      <c r="H1" s="1" t="s">
        <v>7</v>
      </c>
      <c r="I1" s="1" t="s">
        <v>8</v>
      </c>
      <c r="J1" s="1" t="s">
        <v>9</v>
      </c>
      <c r="K1" s="1" t="s">
        <v>10</v>
      </c>
    </row>
    <row r="2" spans="1:11" ht="15.75" customHeight="1" x14ac:dyDescent="0.15">
      <c r="A2" s="1" t="s">
        <v>12</v>
      </c>
      <c r="B2" s="1" t="s">
        <v>13</v>
      </c>
      <c r="C2" s="2" t="s">
        <v>14</v>
      </c>
      <c r="D2" s="1" t="str">
        <f t="shared" ref="D2:D52" si="0">TEXT(DATEVALUE(LEFT(C2,10)), "YYYY-MM")</f>
        <v>2025-08</v>
      </c>
      <c r="E2" s="4">
        <v>3741</v>
      </c>
      <c r="F2" s="4">
        <v>62.4</v>
      </c>
      <c r="G2" s="4">
        <v>3401847</v>
      </c>
      <c r="H2" s="4">
        <v>56108</v>
      </c>
      <c r="I2" s="4">
        <v>2280</v>
      </c>
      <c r="J2" s="1" t="s">
        <v>18</v>
      </c>
      <c r="K2" s="1" t="s">
        <v>19</v>
      </c>
    </row>
    <row r="3" spans="1:11" ht="15.75" customHeight="1" x14ac:dyDescent="0.15">
      <c r="A3" s="1" t="s">
        <v>20</v>
      </c>
      <c r="B3" s="1" t="s">
        <v>21</v>
      </c>
      <c r="C3" s="2" t="s">
        <v>22</v>
      </c>
      <c r="D3" s="1" t="str">
        <f t="shared" si="0"/>
        <v>2026-05</v>
      </c>
      <c r="E3" s="4">
        <v>3827</v>
      </c>
      <c r="F3" s="4">
        <v>63.8</v>
      </c>
      <c r="G3" s="4">
        <v>3129824</v>
      </c>
      <c r="H3" s="4">
        <v>61607</v>
      </c>
      <c r="I3" s="4">
        <v>4459</v>
      </c>
      <c r="J3" s="1" t="s">
        <v>24</v>
      </c>
      <c r="K3" s="1" t="s">
        <v>26</v>
      </c>
    </row>
    <row r="4" spans="1:11" ht="15.75" customHeight="1" x14ac:dyDescent="0.15">
      <c r="A4" s="1" t="s">
        <v>27</v>
      </c>
      <c r="B4" s="1" t="s">
        <v>28</v>
      </c>
      <c r="C4" s="2" t="s">
        <v>29</v>
      </c>
      <c r="D4" s="1" t="str">
        <f t="shared" si="0"/>
        <v>2025-12</v>
      </c>
      <c r="E4" s="4">
        <v>3740</v>
      </c>
      <c r="F4" s="4">
        <v>62.3</v>
      </c>
      <c r="G4" s="4">
        <v>2232132</v>
      </c>
      <c r="H4" s="4">
        <v>27672</v>
      </c>
      <c r="I4" s="4">
        <v>831</v>
      </c>
      <c r="J4" s="1" t="s">
        <v>30</v>
      </c>
      <c r="K4" s="1" t="s">
        <v>31</v>
      </c>
    </row>
    <row r="5" spans="1:11" ht="15.75" customHeight="1" x14ac:dyDescent="0.15">
      <c r="A5" s="1" t="s">
        <v>33</v>
      </c>
      <c r="B5" s="1" t="s">
        <v>34</v>
      </c>
      <c r="C5" s="2" t="s">
        <v>35</v>
      </c>
      <c r="D5" s="1" t="str">
        <f t="shared" si="0"/>
        <v>2026-03</v>
      </c>
      <c r="E5" s="4">
        <v>3874</v>
      </c>
      <c r="F5" s="4">
        <v>64.599999999999994</v>
      </c>
      <c r="G5" s="4">
        <v>2076048</v>
      </c>
      <c r="H5" s="4">
        <v>32066</v>
      </c>
      <c r="I5" s="4">
        <v>874</v>
      </c>
      <c r="J5" s="1" t="s">
        <v>37</v>
      </c>
      <c r="K5" s="1" t="s">
        <v>38</v>
      </c>
    </row>
    <row r="6" spans="1:11" ht="15.75" customHeight="1" x14ac:dyDescent="0.15">
      <c r="A6" s="1" t="s">
        <v>39</v>
      </c>
      <c r="B6" s="1" t="s">
        <v>41</v>
      </c>
      <c r="C6" s="2" t="s">
        <v>43</v>
      </c>
      <c r="D6" s="1" t="str">
        <f t="shared" si="0"/>
        <v>2026-05</v>
      </c>
      <c r="E6" s="4">
        <v>3926</v>
      </c>
      <c r="F6" s="4">
        <v>65.400000000000006</v>
      </c>
      <c r="G6" s="4">
        <v>1889363</v>
      </c>
      <c r="H6" s="4">
        <v>21454</v>
      </c>
      <c r="I6" s="4">
        <v>820</v>
      </c>
      <c r="J6" s="1" t="s">
        <v>44</v>
      </c>
      <c r="K6" s="1" t="s">
        <v>45</v>
      </c>
    </row>
    <row r="7" spans="1:11" ht="15.75" customHeight="1" x14ac:dyDescent="0.15">
      <c r="A7" s="1" t="s">
        <v>46</v>
      </c>
      <c r="B7" s="1" t="s">
        <v>47</v>
      </c>
      <c r="C7" s="2" t="s">
        <v>48</v>
      </c>
      <c r="D7" s="1" t="str">
        <f t="shared" si="0"/>
        <v>2026-05</v>
      </c>
      <c r="E7" s="4">
        <v>4514</v>
      </c>
      <c r="F7" s="4">
        <v>75.2</v>
      </c>
      <c r="G7" s="4">
        <v>1795375</v>
      </c>
      <c r="H7" s="4">
        <v>30262</v>
      </c>
      <c r="I7" s="4">
        <v>2366</v>
      </c>
      <c r="J7" s="1" t="s">
        <v>51</v>
      </c>
      <c r="K7" s="1" t="s">
        <v>53</v>
      </c>
    </row>
    <row r="8" spans="1:11" ht="15.75" customHeight="1" x14ac:dyDescent="0.15">
      <c r="A8" s="1" t="s">
        <v>60</v>
      </c>
      <c r="B8" s="1" t="s">
        <v>61</v>
      </c>
      <c r="C8" s="2" t="s">
        <v>62</v>
      </c>
      <c r="D8" s="1" t="str">
        <f t="shared" si="0"/>
        <v>2026-06</v>
      </c>
      <c r="E8" s="4">
        <v>4948</v>
      </c>
      <c r="F8" s="4">
        <v>82.5</v>
      </c>
      <c r="G8" s="4">
        <v>1497797</v>
      </c>
      <c r="H8" s="4">
        <v>14122</v>
      </c>
      <c r="I8" s="4">
        <v>914</v>
      </c>
      <c r="J8" s="1" t="s">
        <v>64</v>
      </c>
      <c r="K8" s="1" t="s">
        <v>65</v>
      </c>
    </row>
    <row r="9" spans="1:11" ht="15.75" customHeight="1" x14ac:dyDescent="0.15">
      <c r="A9" s="1" t="s">
        <v>67</v>
      </c>
      <c r="B9" s="1" t="s">
        <v>68</v>
      </c>
      <c r="C9" s="2" t="s">
        <v>70</v>
      </c>
      <c r="D9" s="1" t="str">
        <f t="shared" si="0"/>
        <v>2026-05</v>
      </c>
      <c r="E9" s="4">
        <v>4454</v>
      </c>
      <c r="F9" s="4">
        <v>74.2</v>
      </c>
      <c r="G9" s="4">
        <v>1467586</v>
      </c>
      <c r="H9" s="4">
        <v>23109</v>
      </c>
      <c r="I9" s="4">
        <v>1316</v>
      </c>
      <c r="J9" s="1" t="s">
        <v>72</v>
      </c>
      <c r="K9" s="1" t="s">
        <v>73</v>
      </c>
    </row>
    <row r="10" spans="1:11" ht="15.75" customHeight="1" x14ac:dyDescent="0.15">
      <c r="A10" s="1" t="s">
        <v>75</v>
      </c>
      <c r="B10" s="1" t="s">
        <v>76</v>
      </c>
      <c r="C10" s="2" t="s">
        <v>77</v>
      </c>
      <c r="D10" s="1" t="str">
        <f t="shared" si="0"/>
        <v>2026-02</v>
      </c>
      <c r="E10" s="4">
        <v>3562</v>
      </c>
      <c r="F10" s="4">
        <v>59.4</v>
      </c>
      <c r="G10" s="4">
        <v>1443889</v>
      </c>
      <c r="H10" s="4">
        <v>15690</v>
      </c>
      <c r="I10" s="4">
        <v>711</v>
      </c>
      <c r="J10" s="1" t="s">
        <v>79</v>
      </c>
      <c r="K10" s="1" t="s">
        <v>80</v>
      </c>
    </row>
    <row r="11" spans="1:11" ht="15.75" customHeight="1" x14ac:dyDescent="0.15">
      <c r="A11" s="1" t="s">
        <v>81</v>
      </c>
      <c r="B11" s="1" t="s">
        <v>82</v>
      </c>
      <c r="C11" s="2" t="s">
        <v>83</v>
      </c>
      <c r="D11" s="1" t="str">
        <f t="shared" si="0"/>
        <v>2026-07</v>
      </c>
      <c r="E11" s="4">
        <v>4602</v>
      </c>
      <c r="F11" s="4">
        <v>76.7</v>
      </c>
      <c r="G11" s="4">
        <v>1264508</v>
      </c>
      <c r="H11" s="4">
        <v>19287</v>
      </c>
      <c r="I11" s="4">
        <v>1423</v>
      </c>
      <c r="J11" s="1" t="s">
        <v>86</v>
      </c>
      <c r="K11" s="1" t="s">
        <v>87</v>
      </c>
    </row>
    <row r="12" spans="1:11" ht="15.75" customHeight="1" x14ac:dyDescent="0.15">
      <c r="A12" s="1" t="s">
        <v>88</v>
      </c>
      <c r="B12" s="1" t="s">
        <v>89</v>
      </c>
      <c r="C12" s="2" t="s">
        <v>90</v>
      </c>
      <c r="D12" s="1" t="str">
        <f t="shared" si="0"/>
        <v>2026-03</v>
      </c>
      <c r="E12" s="4">
        <v>3992</v>
      </c>
      <c r="F12" s="4">
        <v>66.5</v>
      </c>
      <c r="G12" s="4">
        <v>1251770</v>
      </c>
      <c r="H12" s="4">
        <v>17755</v>
      </c>
      <c r="I12" s="4">
        <v>707</v>
      </c>
      <c r="J12" s="1" t="s">
        <v>92</v>
      </c>
      <c r="K12" s="1" t="s">
        <v>94</v>
      </c>
    </row>
    <row r="13" spans="1:11" ht="15.75" customHeight="1" x14ac:dyDescent="0.15">
      <c r="A13" s="1" t="s">
        <v>95</v>
      </c>
      <c r="B13" s="1" t="s">
        <v>96</v>
      </c>
      <c r="C13" s="2" t="s">
        <v>97</v>
      </c>
      <c r="D13" s="1" t="str">
        <f t="shared" si="0"/>
        <v>2026-04</v>
      </c>
      <c r="E13" s="4">
        <v>3339</v>
      </c>
      <c r="F13" s="4">
        <v>55.6</v>
      </c>
      <c r="G13" s="4">
        <v>1220468</v>
      </c>
      <c r="H13" s="4">
        <v>16965</v>
      </c>
      <c r="I13" s="4">
        <v>945</v>
      </c>
      <c r="J13" s="1" t="s">
        <v>99</v>
      </c>
      <c r="K13" s="1" t="s">
        <v>101</v>
      </c>
    </row>
    <row r="14" spans="1:11" ht="15.75" customHeight="1" x14ac:dyDescent="0.15">
      <c r="A14" s="1" t="s">
        <v>102</v>
      </c>
      <c r="B14" s="1" t="s">
        <v>103</v>
      </c>
      <c r="C14" s="2" t="s">
        <v>105</v>
      </c>
      <c r="D14" s="1" t="str">
        <f t="shared" si="0"/>
        <v>2025-11</v>
      </c>
      <c r="E14" s="4">
        <v>4370</v>
      </c>
      <c r="F14" s="4">
        <v>72.8</v>
      </c>
      <c r="G14" s="4">
        <v>1134563</v>
      </c>
      <c r="H14" s="4">
        <v>14545</v>
      </c>
      <c r="I14" s="4">
        <v>572</v>
      </c>
      <c r="J14" s="1" t="s">
        <v>79</v>
      </c>
      <c r="K14" s="1" t="s">
        <v>108</v>
      </c>
    </row>
    <row r="15" spans="1:11" ht="15.75" customHeight="1" x14ac:dyDescent="0.15">
      <c r="A15" s="1" t="s">
        <v>109</v>
      </c>
      <c r="B15" s="1" t="s">
        <v>112</v>
      </c>
      <c r="C15" s="2" t="s">
        <v>114</v>
      </c>
      <c r="D15" s="1" t="str">
        <f t="shared" si="0"/>
        <v>2025-11</v>
      </c>
      <c r="E15" s="4">
        <v>3731</v>
      </c>
      <c r="F15" s="4">
        <v>62.2</v>
      </c>
      <c r="G15" s="4">
        <v>952659</v>
      </c>
      <c r="H15" s="4">
        <v>10517</v>
      </c>
      <c r="I15" s="4">
        <v>950</v>
      </c>
      <c r="J15" s="1" t="s">
        <v>79</v>
      </c>
      <c r="K15" s="1" t="s">
        <v>116</v>
      </c>
    </row>
    <row r="16" spans="1:11" ht="15.75" customHeight="1" x14ac:dyDescent="0.15">
      <c r="A16" s="1" t="s">
        <v>117</v>
      </c>
      <c r="B16" s="1" t="s">
        <v>118</v>
      </c>
      <c r="C16" s="2" t="s">
        <v>120</v>
      </c>
      <c r="D16" s="1" t="str">
        <f t="shared" si="0"/>
        <v>2026-02</v>
      </c>
      <c r="E16" s="4">
        <v>4299</v>
      </c>
      <c r="F16" s="4">
        <v>71.7</v>
      </c>
      <c r="G16" s="4">
        <v>931737</v>
      </c>
      <c r="H16" s="4">
        <v>12487</v>
      </c>
      <c r="I16" s="4">
        <v>368</v>
      </c>
      <c r="J16" s="1" t="s">
        <v>79</v>
      </c>
      <c r="K16" s="1" t="s">
        <v>124</v>
      </c>
    </row>
    <row r="17" spans="1:11" ht="15.75" customHeight="1" x14ac:dyDescent="0.15">
      <c r="A17" s="1" t="s">
        <v>126</v>
      </c>
      <c r="B17" s="1" t="s">
        <v>127</v>
      </c>
      <c r="C17" s="2" t="s">
        <v>128</v>
      </c>
      <c r="D17" s="1" t="str">
        <f t="shared" si="0"/>
        <v>2026-04</v>
      </c>
      <c r="E17" s="4">
        <v>3717</v>
      </c>
      <c r="F17" s="4">
        <v>62</v>
      </c>
      <c r="G17" s="4">
        <v>879661</v>
      </c>
      <c r="H17" s="4">
        <v>12561</v>
      </c>
      <c r="I17" s="4">
        <v>785</v>
      </c>
      <c r="J17" s="1" t="s">
        <v>79</v>
      </c>
      <c r="K17" s="1" t="s">
        <v>131</v>
      </c>
    </row>
    <row r="18" spans="1:11" ht="15.75" customHeight="1" x14ac:dyDescent="0.15">
      <c r="A18" s="1" t="s">
        <v>132</v>
      </c>
      <c r="B18" s="1" t="s">
        <v>133</v>
      </c>
      <c r="C18" s="2" t="s">
        <v>134</v>
      </c>
      <c r="D18" s="1" t="str">
        <f t="shared" si="0"/>
        <v>2026-02</v>
      </c>
      <c r="E18" s="4">
        <v>4916</v>
      </c>
      <c r="F18" s="4">
        <v>81.900000000000006</v>
      </c>
      <c r="G18" s="4">
        <v>867883</v>
      </c>
      <c r="H18" s="4">
        <v>8713</v>
      </c>
      <c r="I18" s="4">
        <v>326</v>
      </c>
      <c r="J18" s="1" t="s">
        <v>79</v>
      </c>
      <c r="K18" s="1" t="s">
        <v>135</v>
      </c>
    </row>
    <row r="19" spans="1:11" ht="15.75" customHeight="1" x14ac:dyDescent="0.15">
      <c r="A19" s="1" t="s">
        <v>137</v>
      </c>
      <c r="B19" s="1" t="s">
        <v>140</v>
      </c>
      <c r="C19" s="2" t="s">
        <v>141</v>
      </c>
      <c r="D19" s="1" t="str">
        <f t="shared" si="0"/>
        <v>2025-06</v>
      </c>
      <c r="E19" s="4">
        <v>3846</v>
      </c>
      <c r="F19" s="4">
        <v>64.099999999999994</v>
      </c>
      <c r="G19" s="4">
        <v>811047</v>
      </c>
      <c r="H19" s="4">
        <v>9640</v>
      </c>
      <c r="I19" s="4">
        <v>235</v>
      </c>
      <c r="J19" s="1" t="s">
        <v>143</v>
      </c>
      <c r="K19" s="1" t="s">
        <v>144</v>
      </c>
    </row>
    <row r="20" spans="1:11" ht="15.75" customHeight="1" x14ac:dyDescent="0.15">
      <c r="A20" s="1" t="s">
        <v>145</v>
      </c>
      <c r="B20" s="1" t="s">
        <v>147</v>
      </c>
      <c r="C20" s="2" t="s">
        <v>148</v>
      </c>
      <c r="D20" s="1" t="str">
        <f t="shared" si="0"/>
        <v>2026-07</v>
      </c>
      <c r="E20" s="4">
        <v>3651</v>
      </c>
      <c r="F20" s="4">
        <v>60.9</v>
      </c>
      <c r="G20" s="4">
        <v>669603</v>
      </c>
      <c r="H20" s="4">
        <v>9940</v>
      </c>
      <c r="I20" s="4">
        <v>511</v>
      </c>
      <c r="J20" s="1" t="s">
        <v>153</v>
      </c>
      <c r="K20" s="1" t="s">
        <v>154</v>
      </c>
    </row>
    <row r="21" spans="1:11" ht="15.75" customHeight="1" x14ac:dyDescent="0.15">
      <c r="A21" s="1" t="s">
        <v>156</v>
      </c>
      <c r="B21" s="1" t="s">
        <v>157</v>
      </c>
      <c r="C21" s="2" t="s">
        <v>160</v>
      </c>
      <c r="D21" s="1" t="str">
        <f t="shared" si="0"/>
        <v>2026-03</v>
      </c>
      <c r="E21" s="4">
        <v>3777</v>
      </c>
      <c r="F21" s="4">
        <v>63</v>
      </c>
      <c r="G21" s="4">
        <v>663981</v>
      </c>
      <c r="H21" s="4">
        <v>9003</v>
      </c>
      <c r="I21" s="4">
        <v>443</v>
      </c>
      <c r="J21" s="1" t="s">
        <v>161</v>
      </c>
      <c r="K21" s="1" t="s">
        <v>162</v>
      </c>
    </row>
    <row r="22" spans="1:11" ht="15.75" customHeight="1" x14ac:dyDescent="0.15">
      <c r="A22" s="1" t="s">
        <v>163</v>
      </c>
      <c r="B22" s="1" t="s">
        <v>166</v>
      </c>
      <c r="C22" s="2" t="s">
        <v>167</v>
      </c>
      <c r="D22" s="1" t="str">
        <f t="shared" si="0"/>
        <v>2026-02</v>
      </c>
      <c r="E22" s="4">
        <v>4463</v>
      </c>
      <c r="F22" s="4">
        <v>74.400000000000006</v>
      </c>
      <c r="G22" s="4">
        <v>660018</v>
      </c>
      <c r="H22" s="4">
        <v>9863</v>
      </c>
      <c r="I22" s="4">
        <v>464</v>
      </c>
      <c r="J22" s="1" t="s">
        <v>170</v>
      </c>
      <c r="K22" s="1" t="s">
        <v>171</v>
      </c>
    </row>
    <row r="23" spans="1:11" ht="15.75" customHeight="1" x14ac:dyDescent="0.15">
      <c r="A23" s="1" t="s">
        <v>173</v>
      </c>
      <c r="B23" s="1" t="s">
        <v>174</v>
      </c>
      <c r="C23" s="2" t="s">
        <v>175</v>
      </c>
      <c r="D23" s="1" t="str">
        <f t="shared" si="0"/>
        <v>2026-03</v>
      </c>
      <c r="E23" s="4">
        <v>4220</v>
      </c>
      <c r="F23" s="4">
        <v>70.3</v>
      </c>
      <c r="G23" s="4">
        <v>574812</v>
      </c>
      <c r="H23" s="4">
        <v>9428</v>
      </c>
      <c r="I23" s="4">
        <v>514</v>
      </c>
      <c r="J23" s="1" t="s">
        <v>178</v>
      </c>
      <c r="K23" s="1" t="s">
        <v>179</v>
      </c>
    </row>
    <row r="24" spans="1:11" ht="15.75" customHeight="1" x14ac:dyDescent="0.15">
      <c r="A24" s="1" t="s">
        <v>181</v>
      </c>
      <c r="B24" s="1" t="s">
        <v>182</v>
      </c>
      <c r="C24" s="2" t="s">
        <v>183</v>
      </c>
      <c r="D24" s="1" t="str">
        <f t="shared" si="0"/>
        <v>2025-06</v>
      </c>
      <c r="E24" s="4">
        <v>3820</v>
      </c>
      <c r="F24" s="4">
        <v>63.7</v>
      </c>
      <c r="G24" s="4">
        <v>549222</v>
      </c>
      <c r="H24" s="4">
        <v>4238</v>
      </c>
      <c r="I24" s="4">
        <v>103</v>
      </c>
      <c r="J24" s="1" t="s">
        <v>186</v>
      </c>
      <c r="K24" s="1" t="s">
        <v>187</v>
      </c>
    </row>
    <row r="25" spans="1:11" ht="15.75" customHeight="1" x14ac:dyDescent="0.15">
      <c r="A25" s="1" t="s">
        <v>188</v>
      </c>
      <c r="B25" s="1" t="s">
        <v>189</v>
      </c>
      <c r="C25" s="2" t="s">
        <v>190</v>
      </c>
      <c r="D25" s="1" t="str">
        <f t="shared" si="0"/>
        <v>2026-03</v>
      </c>
      <c r="E25" s="4">
        <v>4440</v>
      </c>
      <c r="F25" s="4">
        <v>74</v>
      </c>
      <c r="G25" s="4">
        <v>546463</v>
      </c>
      <c r="H25" s="4">
        <v>6449</v>
      </c>
      <c r="I25" s="4">
        <v>371</v>
      </c>
      <c r="J25" s="1" t="s">
        <v>193</v>
      </c>
      <c r="K25" s="1" t="s">
        <v>200</v>
      </c>
    </row>
    <row r="26" spans="1:11" ht="15.75" customHeight="1" x14ac:dyDescent="0.15">
      <c r="A26" s="1" t="s">
        <v>201</v>
      </c>
      <c r="B26" s="1" t="s">
        <v>202</v>
      </c>
      <c r="C26" s="2" t="s">
        <v>204</v>
      </c>
      <c r="D26" s="1" t="str">
        <f t="shared" si="0"/>
        <v>2026-05</v>
      </c>
      <c r="E26" s="4">
        <v>2589</v>
      </c>
      <c r="F26" s="4">
        <v>43.1</v>
      </c>
      <c r="G26" s="4">
        <v>510697</v>
      </c>
      <c r="H26" s="4">
        <v>4384</v>
      </c>
      <c r="I26" s="4">
        <v>358</v>
      </c>
      <c r="J26" s="1" t="s">
        <v>208</v>
      </c>
      <c r="K26" s="1" t="s">
        <v>209</v>
      </c>
    </row>
    <row r="27" spans="1:11" ht="15.75" customHeight="1" x14ac:dyDescent="0.15">
      <c r="A27" s="1" t="s">
        <v>210</v>
      </c>
      <c r="B27" s="1" t="s">
        <v>211</v>
      </c>
      <c r="C27" s="2" t="s">
        <v>212</v>
      </c>
      <c r="D27" s="1" t="str">
        <f t="shared" si="0"/>
        <v>2026-06</v>
      </c>
      <c r="E27" s="4">
        <v>4298</v>
      </c>
      <c r="F27" s="4">
        <v>71.599999999999994</v>
      </c>
      <c r="G27" s="4">
        <v>490599</v>
      </c>
      <c r="H27" s="4">
        <v>8551</v>
      </c>
      <c r="I27" s="4">
        <v>744</v>
      </c>
      <c r="J27" s="1" t="s">
        <v>216</v>
      </c>
      <c r="K27" s="1" t="s">
        <v>217</v>
      </c>
    </row>
    <row r="28" spans="1:11" ht="15.75" customHeight="1" x14ac:dyDescent="0.15">
      <c r="A28" s="1" t="s">
        <v>218</v>
      </c>
      <c r="B28" s="1" t="s">
        <v>219</v>
      </c>
      <c r="C28" s="2" t="s">
        <v>220</v>
      </c>
      <c r="D28" s="1" t="str">
        <f t="shared" si="0"/>
        <v>2026-02</v>
      </c>
      <c r="E28" s="4">
        <v>4063</v>
      </c>
      <c r="F28" s="4">
        <v>67.7</v>
      </c>
      <c r="G28" s="4">
        <v>483079</v>
      </c>
      <c r="H28" s="4">
        <v>3193</v>
      </c>
      <c r="I28" s="4">
        <v>218</v>
      </c>
      <c r="J28" s="1" t="s">
        <v>79</v>
      </c>
      <c r="K28" s="1" t="s">
        <v>225</v>
      </c>
    </row>
    <row r="29" spans="1:11" ht="15.75" customHeight="1" x14ac:dyDescent="0.15">
      <c r="A29" s="1" t="s">
        <v>226</v>
      </c>
      <c r="B29" s="1" t="s">
        <v>227</v>
      </c>
      <c r="C29" s="2" t="s">
        <v>228</v>
      </c>
      <c r="D29" s="1" t="str">
        <f t="shared" si="0"/>
        <v>2026-03</v>
      </c>
      <c r="E29" s="4">
        <v>2831</v>
      </c>
      <c r="F29" s="4">
        <v>47.2</v>
      </c>
      <c r="G29" s="4">
        <v>474218</v>
      </c>
      <c r="H29" s="4">
        <v>3783</v>
      </c>
      <c r="I29" s="4">
        <v>182</v>
      </c>
      <c r="J29" s="1" t="s">
        <v>79</v>
      </c>
      <c r="K29" s="1" t="s">
        <v>235</v>
      </c>
    </row>
    <row r="30" spans="1:11" ht="15.75" customHeight="1" x14ac:dyDescent="0.15">
      <c r="A30" s="1" t="s">
        <v>236</v>
      </c>
      <c r="B30" s="1" t="s">
        <v>238</v>
      </c>
      <c r="C30" s="2" t="s">
        <v>239</v>
      </c>
      <c r="D30" s="1" t="str">
        <f t="shared" si="0"/>
        <v>2025-10</v>
      </c>
      <c r="E30" s="4">
        <v>3492</v>
      </c>
      <c r="F30" s="4">
        <v>58.2</v>
      </c>
      <c r="G30" s="4">
        <v>415553</v>
      </c>
      <c r="H30" s="4">
        <v>6078</v>
      </c>
      <c r="I30" s="4">
        <v>497</v>
      </c>
      <c r="J30" s="1" t="s">
        <v>241</v>
      </c>
      <c r="K30" s="1" t="s">
        <v>242</v>
      </c>
    </row>
    <row r="31" spans="1:11" ht="15.75" customHeight="1" x14ac:dyDescent="0.15">
      <c r="A31" s="1" t="s">
        <v>243</v>
      </c>
      <c r="B31" s="1" t="s">
        <v>245</v>
      </c>
      <c r="C31" s="2" t="s">
        <v>246</v>
      </c>
      <c r="D31" s="1" t="str">
        <f t="shared" si="0"/>
        <v>2025-10</v>
      </c>
      <c r="E31" s="4">
        <v>3724</v>
      </c>
      <c r="F31" s="4">
        <v>62.1</v>
      </c>
      <c r="G31" s="4">
        <v>392062</v>
      </c>
      <c r="H31" s="4">
        <v>6852</v>
      </c>
      <c r="I31" s="4">
        <v>195</v>
      </c>
      <c r="J31" s="1" t="s">
        <v>250</v>
      </c>
      <c r="K31" s="1" t="s">
        <v>251</v>
      </c>
    </row>
    <row r="32" spans="1:11" ht="15.75" customHeight="1" x14ac:dyDescent="0.15">
      <c r="A32" s="1" t="s">
        <v>252</v>
      </c>
      <c r="B32" s="1" t="s">
        <v>254</v>
      </c>
      <c r="C32" s="2" t="s">
        <v>255</v>
      </c>
      <c r="D32" s="1" t="str">
        <f t="shared" si="0"/>
        <v>2026-02</v>
      </c>
      <c r="E32" s="4">
        <v>4536</v>
      </c>
      <c r="F32" s="4">
        <v>75.599999999999994</v>
      </c>
      <c r="G32" s="4">
        <v>384630</v>
      </c>
      <c r="H32" s="4">
        <v>3847</v>
      </c>
      <c r="I32" s="4">
        <v>184</v>
      </c>
      <c r="J32" s="1" t="s">
        <v>79</v>
      </c>
      <c r="K32" s="1" t="s">
        <v>257</v>
      </c>
    </row>
    <row r="33" spans="1:11" ht="15.75" customHeight="1" x14ac:dyDescent="0.15">
      <c r="A33" s="1" t="s">
        <v>258</v>
      </c>
      <c r="B33" s="1" t="s">
        <v>259</v>
      </c>
      <c r="C33" s="2" t="s">
        <v>260</v>
      </c>
      <c r="D33" s="1" t="str">
        <f t="shared" si="0"/>
        <v>2026-03</v>
      </c>
      <c r="E33" s="4">
        <v>4339</v>
      </c>
      <c r="F33" s="4">
        <v>72.3</v>
      </c>
      <c r="G33" s="4">
        <v>345827</v>
      </c>
      <c r="H33" s="4">
        <v>4118</v>
      </c>
      <c r="I33" s="4">
        <v>256</v>
      </c>
      <c r="J33" s="1" t="s">
        <v>263</v>
      </c>
      <c r="K33" s="1" t="s">
        <v>264</v>
      </c>
    </row>
    <row r="34" spans="1:11" ht="15.75" customHeight="1" x14ac:dyDescent="0.15">
      <c r="A34" s="1" t="s">
        <v>265</v>
      </c>
      <c r="B34" s="1" t="s">
        <v>266</v>
      </c>
      <c r="C34" s="2" t="s">
        <v>267</v>
      </c>
      <c r="D34" s="1" t="str">
        <f t="shared" si="0"/>
        <v>2025-06</v>
      </c>
      <c r="E34" s="4">
        <v>3478</v>
      </c>
      <c r="F34" s="4">
        <v>58</v>
      </c>
      <c r="G34" s="4">
        <v>341221</v>
      </c>
      <c r="H34" s="4">
        <v>2858</v>
      </c>
      <c r="I34" s="4">
        <v>233</v>
      </c>
      <c r="J34" s="1" t="s">
        <v>270</v>
      </c>
      <c r="K34" s="1" t="s">
        <v>271</v>
      </c>
    </row>
    <row r="35" spans="1:11" ht="15.75" customHeight="1" x14ac:dyDescent="0.15">
      <c r="A35" s="1" t="s">
        <v>272</v>
      </c>
      <c r="B35" s="1" t="s">
        <v>273</v>
      </c>
      <c r="C35" s="2" t="s">
        <v>274</v>
      </c>
      <c r="D35" s="1" t="str">
        <f t="shared" si="0"/>
        <v>2026-03</v>
      </c>
      <c r="E35" s="4">
        <v>3991</v>
      </c>
      <c r="F35" s="4">
        <v>66.5</v>
      </c>
      <c r="G35" s="4">
        <v>294487</v>
      </c>
      <c r="H35" s="4">
        <v>2823</v>
      </c>
      <c r="I35" s="4">
        <v>196</v>
      </c>
      <c r="J35" s="1" t="s">
        <v>276</v>
      </c>
      <c r="K35" s="1" t="s">
        <v>278</v>
      </c>
    </row>
    <row r="36" spans="1:11" ht="15.75" customHeight="1" x14ac:dyDescent="0.15">
      <c r="A36" s="1" t="s">
        <v>279</v>
      </c>
      <c r="B36" s="1" t="s">
        <v>280</v>
      </c>
      <c r="C36" s="2" t="s">
        <v>281</v>
      </c>
      <c r="D36" s="1" t="str">
        <f t="shared" si="0"/>
        <v>2025-07</v>
      </c>
      <c r="E36" s="4">
        <v>3586</v>
      </c>
      <c r="F36" s="4">
        <v>59.8</v>
      </c>
      <c r="G36" s="4">
        <v>283806</v>
      </c>
      <c r="H36" s="4">
        <v>4348</v>
      </c>
      <c r="I36" s="4">
        <v>237</v>
      </c>
      <c r="J36" s="1" t="s">
        <v>79</v>
      </c>
      <c r="K36" s="1" t="s">
        <v>282</v>
      </c>
    </row>
    <row r="37" spans="1:11" ht="15.75" customHeight="1" x14ac:dyDescent="0.15">
      <c r="A37" s="1" t="s">
        <v>284</v>
      </c>
      <c r="B37" s="1" t="s">
        <v>285</v>
      </c>
      <c r="C37" s="2" t="s">
        <v>287</v>
      </c>
      <c r="D37" s="1" t="str">
        <f t="shared" si="0"/>
        <v>2025-09</v>
      </c>
      <c r="E37" s="4">
        <v>2137</v>
      </c>
      <c r="F37" s="4">
        <v>35.6</v>
      </c>
      <c r="G37" s="4">
        <v>245754</v>
      </c>
      <c r="H37" s="4">
        <v>649</v>
      </c>
      <c r="I37" s="4">
        <v>25</v>
      </c>
      <c r="J37" s="1" t="s">
        <v>288</v>
      </c>
      <c r="K37" s="1" t="s">
        <v>289</v>
      </c>
    </row>
    <row r="38" spans="1:11" ht="15.75" customHeight="1" x14ac:dyDescent="0.15">
      <c r="A38" s="1" t="s">
        <v>290</v>
      </c>
      <c r="B38" s="1" t="s">
        <v>291</v>
      </c>
      <c r="C38" s="2" t="s">
        <v>293</v>
      </c>
      <c r="D38" s="1" t="str">
        <f t="shared" si="0"/>
        <v>2026-07</v>
      </c>
      <c r="E38" s="4">
        <v>3687</v>
      </c>
      <c r="F38" s="4">
        <v>61.5</v>
      </c>
      <c r="G38" s="4">
        <v>243339</v>
      </c>
      <c r="H38" s="4">
        <v>3064</v>
      </c>
      <c r="I38" s="4">
        <v>467</v>
      </c>
      <c r="J38" s="1" t="s">
        <v>295</v>
      </c>
      <c r="K38" s="1" t="s">
        <v>296</v>
      </c>
    </row>
    <row r="39" spans="1:11" ht="15.75" customHeight="1" x14ac:dyDescent="0.15">
      <c r="A39" s="1" t="s">
        <v>297</v>
      </c>
      <c r="B39" s="1" t="s">
        <v>298</v>
      </c>
      <c r="C39" s="2" t="s">
        <v>299</v>
      </c>
      <c r="D39" s="1" t="str">
        <f t="shared" si="0"/>
        <v>2025-08</v>
      </c>
      <c r="E39" s="4">
        <v>3620</v>
      </c>
      <c r="F39" s="4">
        <v>60.3</v>
      </c>
      <c r="G39" s="4">
        <v>222266</v>
      </c>
      <c r="H39" s="4">
        <v>3080</v>
      </c>
      <c r="I39" s="4">
        <v>225</v>
      </c>
      <c r="J39" s="1" t="s">
        <v>302</v>
      </c>
      <c r="K39" s="1" t="s">
        <v>303</v>
      </c>
    </row>
    <row r="40" spans="1:11" ht="15.75" customHeight="1" x14ac:dyDescent="0.15">
      <c r="A40" s="1" t="s">
        <v>304</v>
      </c>
      <c r="B40" s="1" t="s">
        <v>305</v>
      </c>
      <c r="C40" s="2" t="s">
        <v>306</v>
      </c>
      <c r="D40" s="1" t="str">
        <f t="shared" si="0"/>
        <v>2025-12</v>
      </c>
      <c r="E40" s="4">
        <v>3826</v>
      </c>
      <c r="F40" s="4">
        <v>63.8</v>
      </c>
      <c r="G40" s="4">
        <v>190914</v>
      </c>
      <c r="H40" s="4">
        <v>2411</v>
      </c>
      <c r="I40" s="4">
        <v>152</v>
      </c>
      <c r="J40" s="1" t="s">
        <v>79</v>
      </c>
      <c r="K40" s="1" t="s">
        <v>309</v>
      </c>
    </row>
    <row r="41" spans="1:11" ht="15.75" customHeight="1" x14ac:dyDescent="0.15">
      <c r="A41" s="1" t="s">
        <v>310</v>
      </c>
      <c r="B41" s="1" t="s">
        <v>311</v>
      </c>
      <c r="C41" s="2" t="s">
        <v>312</v>
      </c>
      <c r="D41" s="1" t="str">
        <f t="shared" si="0"/>
        <v>2026-02</v>
      </c>
      <c r="E41" s="4">
        <v>3217</v>
      </c>
      <c r="F41" s="4">
        <v>53.6</v>
      </c>
      <c r="G41" s="4">
        <v>187728</v>
      </c>
      <c r="H41" s="4">
        <v>836</v>
      </c>
      <c r="I41" s="4">
        <v>66</v>
      </c>
      <c r="J41" s="1" t="s">
        <v>316</v>
      </c>
      <c r="K41" s="1" t="s">
        <v>318</v>
      </c>
    </row>
    <row r="42" spans="1:11" ht="15.75" customHeight="1" x14ac:dyDescent="0.15">
      <c r="A42" s="1" t="s">
        <v>320</v>
      </c>
      <c r="B42" s="1" t="s">
        <v>321</v>
      </c>
      <c r="C42" s="2" t="s">
        <v>322</v>
      </c>
      <c r="D42" s="1" t="str">
        <f t="shared" si="0"/>
        <v>2025-07</v>
      </c>
      <c r="E42" s="4">
        <v>4136</v>
      </c>
      <c r="F42" s="4">
        <v>68.900000000000006</v>
      </c>
      <c r="G42" s="4">
        <v>183086</v>
      </c>
      <c r="H42" s="4">
        <v>1216</v>
      </c>
      <c r="I42" s="4">
        <v>75</v>
      </c>
      <c r="J42" s="1" t="s">
        <v>323</v>
      </c>
      <c r="K42" s="1" t="s">
        <v>324</v>
      </c>
    </row>
    <row r="43" spans="1:11" ht="15.75" customHeight="1" x14ac:dyDescent="0.15">
      <c r="A43" s="1" t="s">
        <v>326</v>
      </c>
      <c r="B43" s="1" t="s">
        <v>327</v>
      </c>
      <c r="C43" s="2" t="s">
        <v>328</v>
      </c>
      <c r="D43" s="1" t="str">
        <f t="shared" si="0"/>
        <v>2026-04</v>
      </c>
      <c r="E43" s="4">
        <v>1873</v>
      </c>
      <c r="F43" s="4">
        <v>31.2</v>
      </c>
      <c r="G43" s="4">
        <v>164398</v>
      </c>
      <c r="H43" s="4">
        <v>2499</v>
      </c>
      <c r="I43" s="4">
        <v>185</v>
      </c>
      <c r="J43" s="1" t="s">
        <v>79</v>
      </c>
      <c r="K43" s="1" t="s">
        <v>330</v>
      </c>
    </row>
    <row r="44" spans="1:11" ht="15.75" customHeight="1" x14ac:dyDescent="0.15">
      <c r="A44" s="1" t="s">
        <v>331</v>
      </c>
      <c r="B44" s="1" t="s">
        <v>332</v>
      </c>
      <c r="C44" s="2" t="s">
        <v>333</v>
      </c>
      <c r="D44" s="1" t="str">
        <f t="shared" si="0"/>
        <v>2025-07</v>
      </c>
      <c r="E44" s="4">
        <v>3523</v>
      </c>
      <c r="F44" s="4">
        <v>58.7</v>
      </c>
      <c r="G44" s="4">
        <v>158133</v>
      </c>
      <c r="H44" s="4">
        <v>805</v>
      </c>
      <c r="I44" s="4">
        <v>20</v>
      </c>
      <c r="J44" s="1" t="s">
        <v>338</v>
      </c>
      <c r="K44" s="1" t="s">
        <v>339</v>
      </c>
    </row>
    <row r="45" spans="1:11" ht="15.75" customHeight="1" x14ac:dyDescent="0.15">
      <c r="A45" s="1" t="s">
        <v>340</v>
      </c>
      <c r="B45" s="1" t="s">
        <v>342</v>
      </c>
      <c r="C45" s="2" t="s">
        <v>343</v>
      </c>
      <c r="D45" s="1" t="str">
        <f t="shared" si="0"/>
        <v>2026-03</v>
      </c>
      <c r="E45" s="4">
        <v>3173</v>
      </c>
      <c r="F45" s="4">
        <v>52.9</v>
      </c>
      <c r="G45" s="4">
        <v>156841</v>
      </c>
      <c r="H45" s="4">
        <v>1868</v>
      </c>
      <c r="I45" s="4">
        <v>198</v>
      </c>
      <c r="J45" s="1" t="s">
        <v>79</v>
      </c>
      <c r="K45" s="1" t="s">
        <v>345</v>
      </c>
    </row>
    <row r="46" spans="1:11" ht="15.75" customHeight="1" x14ac:dyDescent="0.15">
      <c r="A46" s="1" t="s">
        <v>346</v>
      </c>
      <c r="B46" s="1" t="s">
        <v>347</v>
      </c>
      <c r="C46" s="2" t="s">
        <v>348</v>
      </c>
      <c r="D46" s="1" t="str">
        <f t="shared" si="0"/>
        <v>2025-06</v>
      </c>
      <c r="E46" s="4">
        <v>3559</v>
      </c>
      <c r="F46" s="4">
        <v>59.3</v>
      </c>
      <c r="G46" s="4">
        <v>155036</v>
      </c>
      <c r="H46" s="4">
        <v>1591</v>
      </c>
      <c r="I46" s="4">
        <v>139</v>
      </c>
      <c r="J46" s="1" t="s">
        <v>351</v>
      </c>
      <c r="K46" s="1" t="s">
        <v>352</v>
      </c>
    </row>
    <row r="47" spans="1:11" ht="15.75" customHeight="1" x14ac:dyDescent="0.15">
      <c r="A47" s="1" t="s">
        <v>353</v>
      </c>
      <c r="B47" s="1" t="s">
        <v>354</v>
      </c>
      <c r="C47" s="2" t="s">
        <v>355</v>
      </c>
      <c r="D47" s="1" t="str">
        <f t="shared" si="0"/>
        <v>2025-07</v>
      </c>
      <c r="E47" s="4">
        <v>3267</v>
      </c>
      <c r="F47" s="4">
        <v>54.5</v>
      </c>
      <c r="G47" s="4">
        <v>115509</v>
      </c>
      <c r="H47" s="4">
        <v>1280</v>
      </c>
      <c r="I47" s="4">
        <v>100</v>
      </c>
      <c r="J47" s="1" t="s">
        <v>357</v>
      </c>
      <c r="K47" s="1" t="s">
        <v>358</v>
      </c>
    </row>
    <row r="48" spans="1:11" ht="15.75" customHeight="1" x14ac:dyDescent="0.15">
      <c r="A48" s="1" t="s">
        <v>360</v>
      </c>
      <c r="B48" s="1" t="s">
        <v>361</v>
      </c>
      <c r="C48" s="2" t="s">
        <v>362</v>
      </c>
      <c r="D48" s="1" t="str">
        <f t="shared" si="0"/>
        <v>2025-09</v>
      </c>
      <c r="E48" s="4">
        <v>3649</v>
      </c>
      <c r="F48" s="4">
        <v>60.8</v>
      </c>
      <c r="G48" s="4">
        <v>109095</v>
      </c>
      <c r="H48" s="4">
        <v>834</v>
      </c>
      <c r="I48" s="4">
        <v>59</v>
      </c>
      <c r="J48" s="1" t="s">
        <v>363</v>
      </c>
      <c r="K48" s="1" t="s">
        <v>364</v>
      </c>
    </row>
    <row r="49" spans="1:11" ht="15.75" customHeight="1" x14ac:dyDescent="0.15">
      <c r="A49" s="1" t="s">
        <v>365</v>
      </c>
      <c r="B49" s="1" t="s">
        <v>366</v>
      </c>
      <c r="C49" s="2" t="s">
        <v>367</v>
      </c>
      <c r="D49" s="1" t="str">
        <f t="shared" si="0"/>
        <v>2025-10</v>
      </c>
      <c r="E49" s="4">
        <v>3786</v>
      </c>
      <c r="F49" s="4">
        <v>63.1</v>
      </c>
      <c r="G49" s="4">
        <v>107655</v>
      </c>
      <c r="H49" s="4">
        <v>2317</v>
      </c>
      <c r="I49" s="4">
        <v>202</v>
      </c>
      <c r="J49" s="1" t="s">
        <v>370</v>
      </c>
      <c r="K49" s="1" t="s">
        <v>371</v>
      </c>
    </row>
    <row r="50" spans="1:11" ht="15.75" customHeight="1" x14ac:dyDescent="0.15">
      <c r="A50" s="1" t="s">
        <v>315</v>
      </c>
      <c r="B50" s="1" t="s">
        <v>372</v>
      </c>
      <c r="C50" s="2" t="s">
        <v>373</v>
      </c>
      <c r="D50" s="1" t="str">
        <f t="shared" si="0"/>
        <v>2026-07</v>
      </c>
      <c r="E50" s="4">
        <v>3669</v>
      </c>
      <c r="F50" s="4">
        <v>61.1</v>
      </c>
      <c r="G50" s="4">
        <v>95113</v>
      </c>
      <c r="H50" s="4">
        <v>1502</v>
      </c>
      <c r="I50" s="4">
        <v>95</v>
      </c>
      <c r="J50" s="1" t="s">
        <v>79</v>
      </c>
      <c r="K50" s="1" t="s">
        <v>376</v>
      </c>
    </row>
    <row r="51" spans="1:11" ht="15.75" customHeight="1" x14ac:dyDescent="0.15">
      <c r="A51" s="1" t="s">
        <v>15</v>
      </c>
      <c r="B51" s="1" t="s">
        <v>377</v>
      </c>
      <c r="C51" s="2" t="s">
        <v>378</v>
      </c>
      <c r="D51" s="1" t="str">
        <f t="shared" si="0"/>
        <v>2026-07</v>
      </c>
      <c r="E51" s="4">
        <v>4469</v>
      </c>
      <c r="F51" s="4">
        <v>74.5</v>
      </c>
      <c r="G51" s="4">
        <v>80257</v>
      </c>
      <c r="H51" s="4">
        <v>5624</v>
      </c>
      <c r="I51" s="4">
        <v>442</v>
      </c>
      <c r="J51" s="1" t="s">
        <v>379</v>
      </c>
      <c r="K51" s="1" t="s">
        <v>381</v>
      </c>
    </row>
    <row r="52" spans="1:11" ht="15.75" customHeight="1" x14ac:dyDescent="0.15">
      <c r="A52" s="1" t="s">
        <v>382</v>
      </c>
      <c r="B52" s="1" t="s">
        <v>298</v>
      </c>
      <c r="C52" s="2" t="s">
        <v>384</v>
      </c>
      <c r="D52" s="1" t="str">
        <f t="shared" si="0"/>
        <v>2025-08</v>
      </c>
      <c r="E52" s="4">
        <v>3620</v>
      </c>
      <c r="F52" s="4">
        <v>60.3</v>
      </c>
      <c r="G52" s="4">
        <v>4289</v>
      </c>
      <c r="H52" s="4">
        <v>67</v>
      </c>
      <c r="I52" s="4">
        <v>8</v>
      </c>
      <c r="J52" s="1" t="s">
        <v>385</v>
      </c>
      <c r="K52" s="1" t="s">
        <v>303</v>
      </c>
    </row>
  </sheetData>
  <autoFilter ref="A1:K5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E1004"/>
  <sheetViews>
    <sheetView workbookViewId="0"/>
  </sheetViews>
  <sheetFormatPr baseColWidth="10" defaultColWidth="12.6640625" defaultRowHeight="15.75" customHeight="1" x14ac:dyDescent="0.15"/>
  <cols>
    <col min="2" max="2" width="40.83203125" customWidth="1"/>
    <col min="3" max="3" width="65.6640625" customWidth="1"/>
    <col min="4" max="4" width="17.83203125" customWidth="1"/>
    <col min="5" max="5" width="23.6640625" customWidth="1"/>
  </cols>
  <sheetData>
    <row r="1" spans="1:5" ht="13" x14ac:dyDescent="0.15">
      <c r="A1" s="3" t="s">
        <v>0</v>
      </c>
      <c r="B1" s="3"/>
      <c r="C1" s="3" t="s">
        <v>11</v>
      </c>
      <c r="D1" s="3" t="s">
        <v>7</v>
      </c>
      <c r="E1" s="3" t="s">
        <v>2</v>
      </c>
    </row>
    <row r="2" spans="1:5" ht="13" hidden="1" x14ac:dyDescent="0.15">
      <c r="A2" s="3" t="s">
        <v>15</v>
      </c>
      <c r="B2" s="3" t="e">
        <f t="array" aca="1" ref="B2" ca="1">_xludf.XLOOKUP(A2,duobahlul_videos!$A$1:$A$52,duobahlul_videos!$B$1:$B$52)</f>
        <v>#NAME?</v>
      </c>
      <c r="C2" s="3" t="s">
        <v>16</v>
      </c>
      <c r="D2" s="3">
        <v>117</v>
      </c>
      <c r="E2" s="3" t="s">
        <v>17</v>
      </c>
    </row>
    <row r="3" spans="1:5" ht="13" hidden="1" x14ac:dyDescent="0.15">
      <c r="A3" s="3" t="s">
        <v>15</v>
      </c>
      <c r="B3" s="3" t="e">
        <f t="array" aca="1" ref="B3" ca="1">_xludf.XLOOKUP(A3,duobahlul_videos!$A$1:$A$52,duobahlul_videos!$B$1:$B$52)</f>
        <v>#NAME?</v>
      </c>
      <c r="C3" s="3" t="s">
        <v>23</v>
      </c>
      <c r="D3" s="3">
        <v>143</v>
      </c>
      <c r="E3" s="3" t="s">
        <v>25</v>
      </c>
    </row>
    <row r="4" spans="1:5" ht="13" hidden="1" x14ac:dyDescent="0.15">
      <c r="A4" s="3" t="s">
        <v>15</v>
      </c>
      <c r="B4" s="3" t="e">
        <f t="array" aca="1" ref="B4" ca="1">_xludf.XLOOKUP(A4,duobahlul_videos!$A$1:$A$52,duobahlul_videos!$B$1:$B$52)</f>
        <v>#NAME?</v>
      </c>
      <c r="C4" s="3" t="s">
        <v>32</v>
      </c>
      <c r="D4" s="3">
        <v>62</v>
      </c>
      <c r="E4" s="3" t="s">
        <v>36</v>
      </c>
    </row>
    <row r="5" spans="1:5" ht="13" hidden="1" x14ac:dyDescent="0.15">
      <c r="A5" s="3" t="s">
        <v>15</v>
      </c>
      <c r="B5" s="3" t="e">
        <f t="array" aca="1" ref="B5" ca="1">_xludf.XLOOKUP(A5,duobahlul_videos!$A$1:$A$52,duobahlul_videos!$B$1:$B$52)</f>
        <v>#NAME?</v>
      </c>
      <c r="C5" s="3" t="s">
        <v>40</v>
      </c>
      <c r="D5" s="3">
        <v>73</v>
      </c>
      <c r="E5" s="3" t="s">
        <v>42</v>
      </c>
    </row>
    <row r="6" spans="1:5" ht="13" hidden="1" x14ac:dyDescent="0.15">
      <c r="A6" s="3" t="s">
        <v>15</v>
      </c>
      <c r="B6" s="3" t="e">
        <f t="array" aca="1" ref="B6" ca="1">_xludf.XLOOKUP(A6,duobahlul_videos!$A$1:$A$52,duobahlul_videos!$B$1:$B$52)</f>
        <v>#NAME?</v>
      </c>
      <c r="C6" s="3" t="s">
        <v>49</v>
      </c>
      <c r="D6" s="3">
        <v>30</v>
      </c>
      <c r="E6" s="3" t="s">
        <v>50</v>
      </c>
    </row>
    <row r="7" spans="1:5" ht="13" hidden="1" x14ac:dyDescent="0.15">
      <c r="A7" s="3" t="s">
        <v>15</v>
      </c>
      <c r="B7" s="3" t="e">
        <f t="array" aca="1" ref="B7" ca="1">_xludf.XLOOKUP(A7,duobahlul_videos!$A$1:$A$52,duobahlul_videos!$B$1:$B$52)</f>
        <v>#NAME?</v>
      </c>
      <c r="C7" s="3" t="s">
        <v>63</v>
      </c>
      <c r="D7" s="3">
        <v>80</v>
      </c>
      <c r="E7" s="3" t="s">
        <v>66</v>
      </c>
    </row>
    <row r="8" spans="1:5" ht="13" hidden="1" x14ac:dyDescent="0.15">
      <c r="A8" s="3" t="s">
        <v>15</v>
      </c>
      <c r="B8" s="3" t="e">
        <f t="array" aca="1" ref="B8" ca="1">_xludf.XLOOKUP(A8,duobahlul_videos!$A$1:$A$52,duobahlul_videos!$B$1:$B$52)</f>
        <v>#NAME?</v>
      </c>
      <c r="C8" s="3" t="s">
        <v>74</v>
      </c>
      <c r="D8" s="3">
        <v>34</v>
      </c>
      <c r="E8" s="3" t="s">
        <v>78</v>
      </c>
    </row>
    <row r="9" spans="1:5" ht="13" hidden="1" x14ac:dyDescent="0.15">
      <c r="A9" s="3" t="s">
        <v>15</v>
      </c>
      <c r="B9" s="3" t="e">
        <f t="array" aca="1" ref="B9" ca="1">_xludf.XLOOKUP(A9,duobahlul_videos!$A$1:$A$52,duobahlul_videos!$B$1:$B$52)</f>
        <v>#NAME?</v>
      </c>
      <c r="C9" s="3" t="s">
        <v>84</v>
      </c>
      <c r="D9" s="3">
        <v>18</v>
      </c>
      <c r="E9" s="3" t="s">
        <v>85</v>
      </c>
    </row>
    <row r="10" spans="1:5" ht="13" hidden="1" x14ac:dyDescent="0.15">
      <c r="A10" s="3" t="s">
        <v>15</v>
      </c>
      <c r="B10" s="3" t="e">
        <f t="array" aca="1" ref="B10" ca="1">_xludf.XLOOKUP(A10,duobahlul_videos!$A$1:$A$52,duobahlul_videos!$B$1:$B$52)</f>
        <v>#NAME?</v>
      </c>
      <c r="C10" s="3" t="s">
        <v>91</v>
      </c>
      <c r="D10" s="3">
        <v>7</v>
      </c>
      <c r="E10" s="3" t="s">
        <v>93</v>
      </c>
    </row>
    <row r="11" spans="1:5" ht="13" hidden="1" x14ac:dyDescent="0.15">
      <c r="A11" s="3" t="s">
        <v>15</v>
      </c>
      <c r="B11" s="3" t="e">
        <f t="array" aca="1" ref="B11" ca="1">_xludf.XLOOKUP(A11,duobahlul_videos!$A$1:$A$52,duobahlul_videos!$B$1:$B$52)</f>
        <v>#NAME?</v>
      </c>
      <c r="C11" s="3" t="s">
        <v>98</v>
      </c>
      <c r="D11" s="3">
        <v>36</v>
      </c>
      <c r="E11" s="3" t="s">
        <v>100</v>
      </c>
    </row>
    <row r="12" spans="1:5" ht="13" hidden="1" x14ac:dyDescent="0.15">
      <c r="A12" s="3" t="s">
        <v>15</v>
      </c>
      <c r="B12" s="3" t="e">
        <f t="array" aca="1" ref="B12" ca="1">_xludf.XLOOKUP(A12,duobahlul_videos!$A$1:$A$52,duobahlul_videos!$B$1:$B$52)</f>
        <v>#NAME?</v>
      </c>
      <c r="C12" s="3" t="s">
        <v>110</v>
      </c>
      <c r="D12" s="3">
        <v>19</v>
      </c>
      <c r="E12" s="3" t="s">
        <v>111</v>
      </c>
    </row>
    <row r="13" spans="1:5" ht="13" hidden="1" x14ac:dyDescent="0.15">
      <c r="A13" s="3" t="s">
        <v>15</v>
      </c>
      <c r="B13" s="3" t="e">
        <f t="array" aca="1" ref="B13" ca="1">_xludf.XLOOKUP(A13,duobahlul_videos!$A$1:$A$52,duobahlul_videos!$B$1:$B$52)</f>
        <v>#NAME?</v>
      </c>
      <c r="C13" s="3" t="s">
        <v>119</v>
      </c>
      <c r="D13" s="3">
        <v>9</v>
      </c>
      <c r="E13" s="3" t="s">
        <v>121</v>
      </c>
    </row>
    <row r="14" spans="1:5" ht="13" hidden="1" x14ac:dyDescent="0.15">
      <c r="A14" s="3" t="s">
        <v>15</v>
      </c>
      <c r="B14" s="3" t="e">
        <f t="array" aca="1" ref="B14" ca="1">_xludf.XLOOKUP(A14,duobahlul_videos!$A$1:$A$52,duobahlul_videos!$B$1:$B$52)</f>
        <v>#NAME?</v>
      </c>
      <c r="C14" s="3" t="s">
        <v>129</v>
      </c>
      <c r="D14" s="3">
        <v>11</v>
      </c>
      <c r="E14" s="3" t="s">
        <v>130</v>
      </c>
    </row>
    <row r="15" spans="1:5" ht="13" hidden="1" x14ac:dyDescent="0.15">
      <c r="A15" s="3" t="s">
        <v>15</v>
      </c>
      <c r="B15" s="3" t="e">
        <f t="array" aca="1" ref="B15" ca="1">_xludf.XLOOKUP(A15,duobahlul_videos!$A$1:$A$52,duobahlul_videos!$B$1:$B$52)</f>
        <v>#NAME?</v>
      </c>
      <c r="C15" s="3" t="s">
        <v>136</v>
      </c>
      <c r="D15" s="3">
        <v>24</v>
      </c>
      <c r="E15" s="3" t="s">
        <v>139</v>
      </c>
    </row>
    <row r="16" spans="1:5" ht="13" hidden="1" x14ac:dyDescent="0.15">
      <c r="A16" s="3" t="s">
        <v>15</v>
      </c>
      <c r="B16" s="3" t="e">
        <f t="array" aca="1" ref="B16" ca="1">_xludf.XLOOKUP(A16,duobahlul_videos!$A$1:$A$52,duobahlul_videos!$B$1:$B$52)</f>
        <v>#NAME?</v>
      </c>
      <c r="C16" s="3" t="s">
        <v>146</v>
      </c>
      <c r="D16" s="3">
        <v>25</v>
      </c>
      <c r="E16" s="3" t="s">
        <v>149</v>
      </c>
    </row>
    <row r="17" spans="1:5" ht="13" hidden="1" x14ac:dyDescent="0.15">
      <c r="A17" s="3" t="s">
        <v>15</v>
      </c>
      <c r="B17" s="3" t="e">
        <f t="array" aca="1" ref="B17" ca="1">_xludf.XLOOKUP(A17,duobahlul_videos!$A$1:$A$52,duobahlul_videos!$B$1:$B$52)</f>
        <v>#NAME?</v>
      </c>
      <c r="C17" s="3" t="s">
        <v>151</v>
      </c>
      <c r="D17" s="3">
        <v>30</v>
      </c>
      <c r="E17" s="3" t="s">
        <v>152</v>
      </c>
    </row>
    <row r="18" spans="1:5" ht="13" hidden="1" x14ac:dyDescent="0.15">
      <c r="A18" s="3" t="s">
        <v>15</v>
      </c>
      <c r="B18" s="3" t="e">
        <f t="array" aca="1" ref="B18" ca="1">_xludf.XLOOKUP(A18,duobahlul_videos!$A$1:$A$52,duobahlul_videos!$B$1:$B$52)</f>
        <v>#NAME?</v>
      </c>
      <c r="C18" s="3" t="s">
        <v>155</v>
      </c>
      <c r="D18" s="3">
        <v>6</v>
      </c>
      <c r="E18" s="3" t="s">
        <v>159</v>
      </c>
    </row>
    <row r="19" spans="1:5" ht="13" hidden="1" x14ac:dyDescent="0.15">
      <c r="A19" s="3" t="s">
        <v>15</v>
      </c>
      <c r="B19" s="3" t="e">
        <f t="array" aca="1" ref="B19" ca="1">_xludf.XLOOKUP(A19,duobahlul_videos!$A$1:$A$52,duobahlul_videos!$B$1:$B$52)</f>
        <v>#NAME?</v>
      </c>
      <c r="C19" s="3" t="s">
        <v>165</v>
      </c>
      <c r="D19" s="3">
        <v>8</v>
      </c>
      <c r="E19" s="3" t="s">
        <v>168</v>
      </c>
    </row>
    <row r="20" spans="1:5" ht="13" hidden="1" x14ac:dyDescent="0.15">
      <c r="A20" s="3" t="s">
        <v>15</v>
      </c>
      <c r="B20" s="3" t="e">
        <f t="array" aca="1" ref="B20" ca="1">_xludf.XLOOKUP(A20,duobahlul_videos!$A$1:$A$52,duobahlul_videos!$B$1:$B$52)</f>
        <v>#NAME?</v>
      </c>
      <c r="C20" s="3" t="s">
        <v>176</v>
      </c>
      <c r="D20" s="3">
        <v>8</v>
      </c>
      <c r="E20" s="3" t="s">
        <v>177</v>
      </c>
    </row>
    <row r="21" spans="1:5" ht="13" hidden="1" x14ac:dyDescent="0.15">
      <c r="A21" s="3" t="s">
        <v>15</v>
      </c>
      <c r="B21" s="3" t="e">
        <f t="array" aca="1" ref="B21" ca="1">_xludf.XLOOKUP(A21,duobahlul_videos!$A$1:$A$52,duobahlul_videos!$B$1:$B$52)</f>
        <v>#NAME?</v>
      </c>
      <c r="C21" s="3" t="s">
        <v>184</v>
      </c>
      <c r="D21" s="3">
        <v>12</v>
      </c>
      <c r="E21" s="3" t="s">
        <v>185</v>
      </c>
    </row>
    <row r="22" spans="1:5" ht="13" hidden="1" x14ac:dyDescent="0.15">
      <c r="A22" s="3" t="s">
        <v>145</v>
      </c>
      <c r="B22" s="3" t="e">
        <f t="array" aca="1" ref="B22" ca="1">_xludf.XLOOKUP(A22,duobahlul_videos!$A$1:$A$52,duobahlul_videos!$B$1:$B$52)</f>
        <v>#NAME?</v>
      </c>
      <c r="C22" s="3" t="s">
        <v>192</v>
      </c>
      <c r="D22" s="3">
        <v>132</v>
      </c>
      <c r="E22" s="3" t="s">
        <v>195</v>
      </c>
    </row>
    <row r="23" spans="1:5" ht="13" hidden="1" x14ac:dyDescent="0.15">
      <c r="A23" s="3" t="s">
        <v>145</v>
      </c>
      <c r="B23" s="3" t="e">
        <f t="array" aca="1" ref="B23" ca="1">_xludf.XLOOKUP(A23,duobahlul_videos!$A$1:$A$52,duobahlul_videos!$B$1:$B$52)</f>
        <v>#NAME?</v>
      </c>
      <c r="C23" s="3" t="s">
        <v>197</v>
      </c>
      <c r="D23" s="3">
        <v>236</v>
      </c>
      <c r="E23" s="3" t="s">
        <v>198</v>
      </c>
    </row>
    <row r="24" spans="1:5" ht="13" hidden="1" x14ac:dyDescent="0.15">
      <c r="A24" s="3" t="s">
        <v>145</v>
      </c>
      <c r="B24" s="3" t="e">
        <f t="array" aca="1" ref="B24" ca="1">_xludf.XLOOKUP(A24,duobahlul_videos!$A$1:$A$52,duobahlul_videos!$B$1:$B$52)</f>
        <v>#NAME?</v>
      </c>
      <c r="C24" s="3" t="s">
        <v>205</v>
      </c>
      <c r="D24" s="3">
        <v>207</v>
      </c>
      <c r="E24" s="3" t="s">
        <v>206</v>
      </c>
    </row>
    <row r="25" spans="1:5" ht="13" hidden="1" x14ac:dyDescent="0.15">
      <c r="A25" s="3" t="s">
        <v>145</v>
      </c>
      <c r="B25" s="3" t="e">
        <f t="array" aca="1" ref="B25" ca="1">_xludf.XLOOKUP(A25,duobahlul_videos!$A$1:$A$52,duobahlul_videos!$B$1:$B$52)</f>
        <v>#NAME?</v>
      </c>
      <c r="C25" s="3" t="s">
        <v>213</v>
      </c>
      <c r="D25" s="3">
        <v>64</v>
      </c>
      <c r="E25" s="3" t="s">
        <v>214</v>
      </c>
    </row>
    <row r="26" spans="1:5" ht="13" hidden="1" x14ac:dyDescent="0.15">
      <c r="A26" s="3" t="s">
        <v>145</v>
      </c>
      <c r="B26" s="3" t="e">
        <f t="array" aca="1" ref="B26" ca="1">_xludf.XLOOKUP(A26,duobahlul_videos!$A$1:$A$52,duobahlul_videos!$B$1:$B$52)</f>
        <v>#NAME?</v>
      </c>
      <c r="C26" s="3" t="s">
        <v>222</v>
      </c>
      <c r="D26" s="3">
        <v>35</v>
      </c>
      <c r="E26" s="3" t="s">
        <v>223</v>
      </c>
    </row>
    <row r="27" spans="1:5" ht="13" hidden="1" x14ac:dyDescent="0.15">
      <c r="A27" s="3" t="s">
        <v>145</v>
      </c>
      <c r="B27" s="3" t="e">
        <f t="array" aca="1" ref="B27" ca="1">_xludf.XLOOKUP(A27,duobahlul_videos!$A$1:$A$52,duobahlul_videos!$B$1:$B$52)</f>
        <v>#NAME?</v>
      </c>
      <c r="C27" s="3" t="s">
        <v>229</v>
      </c>
      <c r="D27" s="3">
        <v>24</v>
      </c>
      <c r="E27" s="3" t="s">
        <v>230</v>
      </c>
    </row>
    <row r="28" spans="1:5" ht="13" hidden="1" x14ac:dyDescent="0.15">
      <c r="A28" s="3" t="s">
        <v>145</v>
      </c>
      <c r="B28" s="3" t="e">
        <f t="array" aca="1" ref="B28" ca="1">_xludf.XLOOKUP(A28,duobahlul_videos!$A$1:$A$52,duobahlul_videos!$B$1:$B$52)</f>
        <v>#NAME?</v>
      </c>
      <c r="C28" s="3" t="s">
        <v>231</v>
      </c>
      <c r="D28" s="3">
        <v>24</v>
      </c>
      <c r="E28" s="3" t="s">
        <v>232</v>
      </c>
    </row>
    <row r="29" spans="1:5" ht="13" hidden="1" x14ac:dyDescent="0.15">
      <c r="A29" s="3" t="s">
        <v>145</v>
      </c>
      <c r="B29" s="3" t="e">
        <f t="array" aca="1" ref="B29" ca="1">_xludf.XLOOKUP(A29,duobahlul_videos!$A$1:$A$52,duobahlul_videos!$B$1:$B$52)</f>
        <v>#NAME?</v>
      </c>
      <c r="C29" s="3" t="s">
        <v>233</v>
      </c>
      <c r="D29" s="3">
        <v>64</v>
      </c>
      <c r="E29" s="3" t="s">
        <v>234</v>
      </c>
    </row>
    <row r="30" spans="1:5" ht="13" hidden="1" x14ac:dyDescent="0.15">
      <c r="A30" s="3" t="s">
        <v>145</v>
      </c>
      <c r="B30" s="3" t="e">
        <f t="array" aca="1" ref="B30" ca="1">_xludf.XLOOKUP(A30,duobahlul_videos!$A$1:$A$52,duobahlul_videos!$B$1:$B$52)</f>
        <v>#NAME?</v>
      </c>
      <c r="C30" s="3" t="s">
        <v>237</v>
      </c>
      <c r="D30" s="3">
        <v>50</v>
      </c>
      <c r="E30" s="3" t="s">
        <v>240</v>
      </c>
    </row>
    <row r="31" spans="1:5" ht="13" hidden="1" x14ac:dyDescent="0.15">
      <c r="A31" s="3" t="s">
        <v>145</v>
      </c>
      <c r="B31" s="3" t="e">
        <f t="array" aca="1" ref="B31" ca="1">_xludf.XLOOKUP(A31,duobahlul_videos!$A$1:$A$52,duobahlul_videos!$B$1:$B$52)</f>
        <v>#NAME?</v>
      </c>
      <c r="C31" s="3" t="s">
        <v>244</v>
      </c>
      <c r="D31" s="3">
        <v>75</v>
      </c>
      <c r="E31" s="3" t="s">
        <v>247</v>
      </c>
    </row>
    <row r="32" spans="1:5" ht="13" hidden="1" x14ac:dyDescent="0.15">
      <c r="A32" s="3" t="s">
        <v>145</v>
      </c>
      <c r="B32" s="3" t="e">
        <f t="array" aca="1" ref="B32" ca="1">_xludf.XLOOKUP(A32,duobahlul_videos!$A$1:$A$52,duobahlul_videos!$B$1:$B$52)</f>
        <v>#NAME?</v>
      </c>
      <c r="C32" s="3" t="s">
        <v>248</v>
      </c>
      <c r="D32" s="3">
        <v>18</v>
      </c>
      <c r="E32" s="3" t="s">
        <v>249</v>
      </c>
    </row>
    <row r="33" spans="1:5" ht="13" hidden="1" x14ac:dyDescent="0.15">
      <c r="A33" s="3" t="s">
        <v>145</v>
      </c>
      <c r="B33" s="3" t="e">
        <f t="array" aca="1" ref="B33" ca="1">_xludf.XLOOKUP(A33,duobahlul_videos!$A$1:$A$52,duobahlul_videos!$B$1:$B$52)</f>
        <v>#NAME?</v>
      </c>
      <c r="C33" s="3" t="s">
        <v>253</v>
      </c>
      <c r="D33" s="3">
        <v>7</v>
      </c>
      <c r="E33" s="3" t="s">
        <v>256</v>
      </c>
    </row>
    <row r="34" spans="1:5" ht="13" hidden="1" x14ac:dyDescent="0.15">
      <c r="A34" s="3" t="s">
        <v>145</v>
      </c>
      <c r="B34" s="3" t="e">
        <f t="array" aca="1" ref="B34" ca="1">_xludf.XLOOKUP(A34,duobahlul_videos!$A$1:$A$52,duobahlul_videos!$B$1:$B$52)</f>
        <v>#NAME?</v>
      </c>
      <c r="C34" s="3" t="s">
        <v>261</v>
      </c>
      <c r="D34" s="3">
        <v>15</v>
      </c>
      <c r="E34" s="3" t="s">
        <v>262</v>
      </c>
    </row>
    <row r="35" spans="1:5" ht="13" hidden="1" x14ac:dyDescent="0.15">
      <c r="A35" s="3" t="s">
        <v>145</v>
      </c>
      <c r="B35" s="3" t="e">
        <f t="array" aca="1" ref="B35" ca="1">_xludf.XLOOKUP(A35,duobahlul_videos!$A$1:$A$52,duobahlul_videos!$B$1:$B$52)</f>
        <v>#NAME?</v>
      </c>
      <c r="C35" s="3" t="s">
        <v>268</v>
      </c>
      <c r="D35" s="3">
        <v>15</v>
      </c>
      <c r="E35" s="3" t="s">
        <v>269</v>
      </c>
    </row>
    <row r="36" spans="1:5" ht="13" hidden="1" x14ac:dyDescent="0.15">
      <c r="A36" s="3" t="s">
        <v>145</v>
      </c>
      <c r="B36" s="3" t="e">
        <f t="array" aca="1" ref="B36" ca="1">_xludf.XLOOKUP(A36,duobahlul_videos!$A$1:$A$52,duobahlul_videos!$B$1:$B$52)</f>
        <v>#NAME?</v>
      </c>
      <c r="C36" s="3" t="s">
        <v>275</v>
      </c>
      <c r="D36" s="3">
        <v>16</v>
      </c>
      <c r="E36" s="3" t="s">
        <v>277</v>
      </c>
    </row>
    <row r="37" spans="1:5" ht="13" hidden="1" x14ac:dyDescent="0.15">
      <c r="A37" s="3" t="s">
        <v>145</v>
      </c>
      <c r="B37" s="3" t="e">
        <f t="array" aca="1" ref="B37" ca="1">_xludf.XLOOKUP(A37,duobahlul_videos!$A$1:$A$52,duobahlul_videos!$B$1:$B$52)</f>
        <v>#NAME?</v>
      </c>
      <c r="C37" s="3" t="s">
        <v>283</v>
      </c>
      <c r="D37" s="3">
        <v>30</v>
      </c>
      <c r="E37" s="3" t="s">
        <v>286</v>
      </c>
    </row>
    <row r="38" spans="1:5" ht="13" hidden="1" x14ac:dyDescent="0.15">
      <c r="A38" s="3" t="s">
        <v>145</v>
      </c>
      <c r="B38" s="3" t="e">
        <f t="array" aca="1" ref="B38" ca="1">_xludf.XLOOKUP(A38,duobahlul_videos!$A$1:$A$52,duobahlul_videos!$B$1:$B$52)</f>
        <v>#NAME?</v>
      </c>
      <c r="C38" s="3" t="s">
        <v>292</v>
      </c>
      <c r="D38" s="3">
        <v>1</v>
      </c>
      <c r="E38" s="3" t="s">
        <v>294</v>
      </c>
    </row>
    <row r="39" spans="1:5" ht="13" hidden="1" x14ac:dyDescent="0.15">
      <c r="A39" s="3" t="s">
        <v>145</v>
      </c>
      <c r="B39" s="3" t="e">
        <f t="array" aca="1" ref="B39" ca="1">_xludf.XLOOKUP(A39,duobahlul_videos!$A$1:$A$52,duobahlul_videos!$B$1:$B$52)</f>
        <v>#NAME?</v>
      </c>
      <c r="C39" s="3" t="s">
        <v>300</v>
      </c>
      <c r="D39" s="3">
        <v>21</v>
      </c>
      <c r="E39" s="3" t="s">
        <v>301</v>
      </c>
    </row>
    <row r="40" spans="1:5" ht="13" hidden="1" x14ac:dyDescent="0.15">
      <c r="A40" s="3" t="s">
        <v>145</v>
      </c>
      <c r="B40" s="3" t="e">
        <f t="array" aca="1" ref="B40" ca="1">_xludf.XLOOKUP(A40,duobahlul_videos!$A$1:$A$52,duobahlul_videos!$B$1:$B$52)</f>
        <v>#NAME?</v>
      </c>
      <c r="C40" s="3" t="s">
        <v>307</v>
      </c>
      <c r="D40" s="3">
        <v>11</v>
      </c>
      <c r="E40" s="3" t="s">
        <v>308</v>
      </c>
    </row>
    <row r="41" spans="1:5" ht="13" hidden="1" x14ac:dyDescent="0.15">
      <c r="A41" s="3" t="s">
        <v>145</v>
      </c>
      <c r="B41" s="3" t="e">
        <f t="array" aca="1" ref="B41" ca="1">_xludf.XLOOKUP(A41,duobahlul_videos!$A$1:$A$52,duobahlul_videos!$B$1:$B$52)</f>
        <v>#NAME?</v>
      </c>
      <c r="C41" s="3" t="s">
        <v>313</v>
      </c>
      <c r="D41" s="3">
        <v>10</v>
      </c>
      <c r="E41" s="3" t="s">
        <v>314</v>
      </c>
    </row>
    <row r="42" spans="1:5" ht="13" hidden="1" x14ac:dyDescent="0.15">
      <c r="A42" s="3" t="s">
        <v>315</v>
      </c>
      <c r="B42" s="3" t="e">
        <f t="array" aca="1" ref="B42" ca="1">_xludf.XLOOKUP(A42,duobahlul_videos!$A$1:$A$52,duobahlul_videos!$B$1:$B$52)</f>
        <v>#NAME?</v>
      </c>
      <c r="C42" s="3" t="s">
        <v>317</v>
      </c>
      <c r="D42" s="3">
        <v>52</v>
      </c>
      <c r="E42" s="3" t="s">
        <v>319</v>
      </c>
    </row>
    <row r="43" spans="1:5" ht="13" hidden="1" x14ac:dyDescent="0.15">
      <c r="A43" s="3" t="s">
        <v>315</v>
      </c>
      <c r="B43" s="3" t="e">
        <f t="array" aca="1" ref="B43" ca="1">_xludf.XLOOKUP(A43,duobahlul_videos!$A$1:$A$52,duobahlul_videos!$B$1:$B$52)</f>
        <v>#NAME?</v>
      </c>
      <c r="C43" s="3" t="s">
        <v>325</v>
      </c>
      <c r="D43" s="3">
        <v>20</v>
      </c>
      <c r="E43" s="3" t="s">
        <v>329</v>
      </c>
    </row>
    <row r="44" spans="1:5" ht="13" hidden="1" x14ac:dyDescent="0.15">
      <c r="A44" s="3" t="s">
        <v>315</v>
      </c>
      <c r="B44" s="3" t="e">
        <f t="array" aca="1" ref="B44" ca="1">_xludf.XLOOKUP(A44,duobahlul_videos!$A$1:$A$52,duobahlul_videos!$B$1:$B$52)</f>
        <v>#NAME?</v>
      </c>
      <c r="C44" s="3" t="s">
        <v>334</v>
      </c>
      <c r="D44" s="3">
        <v>20</v>
      </c>
      <c r="E44" s="3" t="s">
        <v>335</v>
      </c>
    </row>
    <row r="45" spans="1:5" ht="13" hidden="1" x14ac:dyDescent="0.15">
      <c r="A45" s="3" t="s">
        <v>315</v>
      </c>
      <c r="B45" s="3" t="e">
        <f t="array" aca="1" ref="B45" ca="1">_xludf.XLOOKUP(A45,duobahlul_videos!$A$1:$A$52,duobahlul_videos!$B$1:$B$52)</f>
        <v>#NAME?</v>
      </c>
      <c r="C45" s="3" t="s">
        <v>336</v>
      </c>
      <c r="D45" s="3">
        <v>18</v>
      </c>
      <c r="E45" s="3" t="s">
        <v>337</v>
      </c>
    </row>
    <row r="46" spans="1:5" ht="13" hidden="1" x14ac:dyDescent="0.15">
      <c r="A46" s="3" t="s">
        <v>315</v>
      </c>
      <c r="B46" s="3" t="e">
        <f t="array" aca="1" ref="B46" ca="1">_xludf.XLOOKUP(A46,duobahlul_videos!$A$1:$A$52,duobahlul_videos!$B$1:$B$52)</f>
        <v>#NAME?</v>
      </c>
      <c r="C46" s="3" t="s">
        <v>341</v>
      </c>
      <c r="D46" s="3">
        <v>35</v>
      </c>
      <c r="E46" s="3" t="s">
        <v>344</v>
      </c>
    </row>
    <row r="47" spans="1:5" ht="13" hidden="1" x14ac:dyDescent="0.15">
      <c r="A47" s="3" t="s">
        <v>315</v>
      </c>
      <c r="B47" s="3" t="e">
        <f t="array" aca="1" ref="B47" ca="1">_xludf.XLOOKUP(A47,duobahlul_videos!$A$1:$A$52,duobahlul_videos!$B$1:$B$52)</f>
        <v>#NAME?</v>
      </c>
      <c r="C47" s="3" t="s">
        <v>349</v>
      </c>
      <c r="D47" s="3">
        <v>18</v>
      </c>
      <c r="E47" s="3" t="s">
        <v>350</v>
      </c>
    </row>
    <row r="48" spans="1:5" ht="13" hidden="1" x14ac:dyDescent="0.15">
      <c r="A48" s="3" t="s">
        <v>315</v>
      </c>
      <c r="B48" s="3" t="e">
        <f t="array" aca="1" ref="B48" ca="1">_xludf.XLOOKUP(A48,duobahlul_videos!$A$1:$A$52,duobahlul_videos!$B$1:$B$52)</f>
        <v>#NAME?</v>
      </c>
      <c r="C48" s="3" t="s">
        <v>356</v>
      </c>
      <c r="D48" s="3">
        <v>10</v>
      </c>
      <c r="E48" s="3" t="s">
        <v>359</v>
      </c>
    </row>
    <row r="49" spans="1:5" ht="13" hidden="1" x14ac:dyDescent="0.15">
      <c r="A49" s="3" t="s">
        <v>315</v>
      </c>
      <c r="B49" s="3" t="e">
        <f t="array" aca="1" ref="B49" ca="1">_xludf.XLOOKUP(A49,duobahlul_videos!$A$1:$A$52,duobahlul_videos!$B$1:$B$52)</f>
        <v>#NAME?</v>
      </c>
      <c r="C49" s="3" t="s">
        <v>368</v>
      </c>
      <c r="D49" s="3">
        <v>1</v>
      </c>
      <c r="E49" s="3" t="s">
        <v>369</v>
      </c>
    </row>
    <row r="50" spans="1:5" ht="13" hidden="1" x14ac:dyDescent="0.15">
      <c r="A50" s="3" t="s">
        <v>315</v>
      </c>
      <c r="B50" s="3" t="e">
        <f t="array" aca="1" ref="B50" ca="1">_xludf.XLOOKUP(A50,duobahlul_videos!$A$1:$A$52,duobahlul_videos!$B$1:$B$52)</f>
        <v>#NAME?</v>
      </c>
      <c r="C50" s="3" t="s">
        <v>374</v>
      </c>
      <c r="D50" s="3">
        <v>5</v>
      </c>
      <c r="E50" s="3" t="s">
        <v>375</v>
      </c>
    </row>
    <row r="51" spans="1:5" ht="13" hidden="1" x14ac:dyDescent="0.15">
      <c r="A51" s="3" t="s">
        <v>315</v>
      </c>
      <c r="B51" s="3" t="e">
        <f t="array" aca="1" ref="B51" ca="1">_xludf.XLOOKUP(A51,duobahlul_videos!$A$1:$A$52,duobahlul_videos!$B$1:$B$52)</f>
        <v>#NAME?</v>
      </c>
      <c r="C51" s="3" t="s">
        <v>380</v>
      </c>
      <c r="D51" s="3">
        <v>6</v>
      </c>
      <c r="E51" s="3" t="s">
        <v>383</v>
      </c>
    </row>
    <row r="52" spans="1:5" ht="13" hidden="1" x14ac:dyDescent="0.15">
      <c r="A52" s="3" t="s">
        <v>315</v>
      </c>
      <c r="B52" s="3" t="e">
        <f t="array" aca="1" ref="B52" ca="1">_xludf.XLOOKUP(A52,duobahlul_videos!$A$1:$A$52,duobahlul_videos!$B$1:$B$52)</f>
        <v>#NAME?</v>
      </c>
      <c r="C52" s="3" t="s">
        <v>386</v>
      </c>
      <c r="D52" s="3">
        <v>5</v>
      </c>
      <c r="E52" s="3" t="s">
        <v>387</v>
      </c>
    </row>
    <row r="53" spans="1:5" ht="13" hidden="1" x14ac:dyDescent="0.15">
      <c r="A53" s="3" t="s">
        <v>315</v>
      </c>
      <c r="B53" s="3" t="e">
        <f t="array" aca="1" ref="B53" ca="1">_xludf.XLOOKUP(A53,duobahlul_videos!$A$1:$A$52,duobahlul_videos!$B$1:$B$52)</f>
        <v>#NAME?</v>
      </c>
      <c r="C53" s="3" t="s">
        <v>388</v>
      </c>
      <c r="D53" s="3">
        <v>7</v>
      </c>
      <c r="E53" s="3" t="s">
        <v>389</v>
      </c>
    </row>
    <row r="54" spans="1:5" ht="13" hidden="1" x14ac:dyDescent="0.15">
      <c r="A54" s="3" t="s">
        <v>315</v>
      </c>
      <c r="B54" s="3" t="e">
        <f t="array" aca="1" ref="B54" ca="1">_xludf.XLOOKUP(A54,duobahlul_videos!$A$1:$A$52,duobahlul_videos!$B$1:$B$52)</f>
        <v>#NAME?</v>
      </c>
      <c r="C54" s="3" t="s">
        <v>390</v>
      </c>
      <c r="D54" s="3">
        <v>16</v>
      </c>
      <c r="E54" s="3" t="s">
        <v>391</v>
      </c>
    </row>
    <row r="55" spans="1:5" ht="13" hidden="1" x14ac:dyDescent="0.15">
      <c r="A55" s="3" t="s">
        <v>315</v>
      </c>
      <c r="B55" s="3" t="e">
        <f t="array" aca="1" ref="B55" ca="1">_xludf.XLOOKUP(A55,duobahlul_videos!$A$1:$A$52,duobahlul_videos!$B$1:$B$52)</f>
        <v>#NAME?</v>
      </c>
      <c r="C55" s="3" t="s">
        <v>392</v>
      </c>
      <c r="D55" s="3">
        <v>1</v>
      </c>
      <c r="E55" s="3" t="s">
        <v>393</v>
      </c>
    </row>
    <row r="56" spans="1:5" ht="13" hidden="1" x14ac:dyDescent="0.15">
      <c r="A56" s="3" t="s">
        <v>315</v>
      </c>
      <c r="B56" s="3" t="e">
        <f t="array" aca="1" ref="B56" ca="1">_xludf.XLOOKUP(A56,duobahlul_videos!$A$1:$A$52,duobahlul_videos!$B$1:$B$52)</f>
        <v>#NAME?</v>
      </c>
      <c r="C56" s="3" t="s">
        <v>394</v>
      </c>
      <c r="D56" s="3">
        <v>17</v>
      </c>
      <c r="E56" s="3" t="s">
        <v>395</v>
      </c>
    </row>
    <row r="57" spans="1:5" ht="13" hidden="1" x14ac:dyDescent="0.15">
      <c r="A57" s="3" t="s">
        <v>315</v>
      </c>
      <c r="B57" s="3" t="e">
        <f t="array" aca="1" ref="B57" ca="1">_xludf.XLOOKUP(A57,duobahlul_videos!$A$1:$A$52,duobahlul_videos!$B$1:$B$52)</f>
        <v>#NAME?</v>
      </c>
      <c r="C57" s="3" t="s">
        <v>396</v>
      </c>
      <c r="D57" s="3">
        <v>9</v>
      </c>
      <c r="E57" s="3" t="s">
        <v>397</v>
      </c>
    </row>
    <row r="58" spans="1:5" ht="13" hidden="1" x14ac:dyDescent="0.15">
      <c r="A58" s="3" t="s">
        <v>315</v>
      </c>
      <c r="B58" s="3" t="e">
        <f t="array" aca="1" ref="B58" ca="1">_xludf.XLOOKUP(A58,duobahlul_videos!$A$1:$A$52,duobahlul_videos!$B$1:$B$52)</f>
        <v>#NAME?</v>
      </c>
      <c r="C58" s="3" t="s">
        <v>398</v>
      </c>
      <c r="D58" s="3">
        <v>2</v>
      </c>
      <c r="E58" s="3" t="s">
        <v>399</v>
      </c>
    </row>
    <row r="59" spans="1:5" ht="13" hidden="1" x14ac:dyDescent="0.15">
      <c r="A59" s="3" t="s">
        <v>315</v>
      </c>
      <c r="B59" s="3" t="e">
        <f t="array" aca="1" ref="B59" ca="1">_xludf.XLOOKUP(A59,duobahlul_videos!$A$1:$A$52,duobahlul_videos!$B$1:$B$52)</f>
        <v>#NAME?</v>
      </c>
      <c r="C59" s="3" t="s">
        <v>400</v>
      </c>
      <c r="D59" s="3">
        <v>1</v>
      </c>
      <c r="E59" s="3" t="s">
        <v>401</v>
      </c>
    </row>
    <row r="60" spans="1:5" ht="13" hidden="1" x14ac:dyDescent="0.15">
      <c r="A60" s="3" t="s">
        <v>315</v>
      </c>
      <c r="B60" s="3" t="e">
        <f t="array" aca="1" ref="B60" ca="1">_xludf.XLOOKUP(A60,duobahlul_videos!$A$1:$A$52,duobahlul_videos!$B$1:$B$52)</f>
        <v>#NAME?</v>
      </c>
      <c r="C60" s="3" t="s">
        <v>402</v>
      </c>
      <c r="D60" s="3">
        <v>1</v>
      </c>
      <c r="E60" s="3" t="s">
        <v>403</v>
      </c>
    </row>
    <row r="61" spans="1:5" ht="13" hidden="1" x14ac:dyDescent="0.15">
      <c r="A61" s="3" t="s">
        <v>315</v>
      </c>
      <c r="B61" s="3" t="e">
        <f t="array" aca="1" ref="B61" ca="1">_xludf.XLOOKUP(A61,duobahlul_videos!$A$1:$A$52,duobahlul_videos!$B$1:$B$52)</f>
        <v>#NAME?</v>
      </c>
      <c r="C61" s="3" t="s">
        <v>404</v>
      </c>
      <c r="D61" s="3">
        <v>1</v>
      </c>
      <c r="E61" s="3" t="s">
        <v>405</v>
      </c>
    </row>
    <row r="62" spans="1:5" ht="13" hidden="1" x14ac:dyDescent="0.15">
      <c r="A62" s="3" t="s">
        <v>290</v>
      </c>
      <c r="B62" s="3" t="e">
        <f t="array" aca="1" ref="B62" ca="1">_xludf.XLOOKUP(A62,duobahlul_videos!$A$1:$A$52,duobahlul_videos!$B$1:$B$52)</f>
        <v>#NAME?</v>
      </c>
      <c r="C62" s="3" t="s">
        <v>406</v>
      </c>
      <c r="D62" s="3">
        <v>93</v>
      </c>
      <c r="E62" s="3" t="s">
        <v>407</v>
      </c>
    </row>
    <row r="63" spans="1:5" ht="13" hidden="1" x14ac:dyDescent="0.15">
      <c r="A63" s="3" t="s">
        <v>290</v>
      </c>
      <c r="B63" s="3" t="e">
        <f t="array" aca="1" ref="B63" ca="1">_xludf.XLOOKUP(A63,duobahlul_videos!$A$1:$A$52,duobahlul_videos!$B$1:$B$52)</f>
        <v>#NAME?</v>
      </c>
      <c r="C63" s="3" t="s">
        <v>408</v>
      </c>
      <c r="D63" s="3">
        <v>241</v>
      </c>
      <c r="E63" s="3" t="s">
        <v>409</v>
      </c>
    </row>
    <row r="64" spans="1:5" ht="13" hidden="1" x14ac:dyDescent="0.15">
      <c r="A64" s="3" t="s">
        <v>290</v>
      </c>
      <c r="B64" s="3" t="e">
        <f t="array" aca="1" ref="B64" ca="1">_xludf.XLOOKUP(A64,duobahlul_videos!$A$1:$A$52,duobahlul_videos!$B$1:$B$52)</f>
        <v>#NAME?</v>
      </c>
      <c r="C64" s="3" t="s">
        <v>410</v>
      </c>
      <c r="D64" s="3">
        <v>73</v>
      </c>
      <c r="E64" s="3" t="s">
        <v>411</v>
      </c>
    </row>
    <row r="65" spans="1:5" ht="13" hidden="1" x14ac:dyDescent="0.15">
      <c r="A65" s="3" t="s">
        <v>290</v>
      </c>
      <c r="B65" s="3" t="e">
        <f t="array" aca="1" ref="B65" ca="1">_xludf.XLOOKUP(A65,duobahlul_videos!$A$1:$A$52,duobahlul_videos!$B$1:$B$52)</f>
        <v>#NAME?</v>
      </c>
      <c r="C65" s="3" t="s">
        <v>412</v>
      </c>
      <c r="D65" s="3">
        <v>19</v>
      </c>
      <c r="E65" s="3" t="s">
        <v>413</v>
      </c>
    </row>
    <row r="66" spans="1:5" ht="13" hidden="1" x14ac:dyDescent="0.15">
      <c r="A66" s="3" t="s">
        <v>290</v>
      </c>
      <c r="B66" s="3" t="e">
        <f t="array" aca="1" ref="B66" ca="1">_xludf.XLOOKUP(A66,duobahlul_videos!$A$1:$A$52,duobahlul_videos!$B$1:$B$52)</f>
        <v>#NAME?</v>
      </c>
      <c r="C66" s="3" t="s">
        <v>414</v>
      </c>
      <c r="D66" s="3">
        <v>30</v>
      </c>
      <c r="E66" s="3" t="s">
        <v>415</v>
      </c>
    </row>
    <row r="67" spans="1:5" ht="13" hidden="1" x14ac:dyDescent="0.15">
      <c r="A67" s="3" t="s">
        <v>290</v>
      </c>
      <c r="B67" s="3" t="e">
        <f t="array" aca="1" ref="B67" ca="1">_xludf.XLOOKUP(A67,duobahlul_videos!$A$1:$A$52,duobahlul_videos!$B$1:$B$52)</f>
        <v>#NAME?</v>
      </c>
      <c r="C67" s="3" t="s">
        <v>416</v>
      </c>
      <c r="D67" s="3">
        <v>24</v>
      </c>
      <c r="E67" s="3" t="s">
        <v>417</v>
      </c>
    </row>
    <row r="68" spans="1:5" ht="13" hidden="1" x14ac:dyDescent="0.15">
      <c r="A68" s="3" t="s">
        <v>290</v>
      </c>
      <c r="B68" s="3" t="e">
        <f t="array" aca="1" ref="B68" ca="1">_xludf.XLOOKUP(A68,duobahlul_videos!$A$1:$A$52,duobahlul_videos!$B$1:$B$52)</f>
        <v>#NAME?</v>
      </c>
      <c r="C68" s="3" t="s">
        <v>418</v>
      </c>
      <c r="D68" s="3">
        <v>21</v>
      </c>
      <c r="E68" s="3" t="s">
        <v>419</v>
      </c>
    </row>
    <row r="69" spans="1:5" ht="13" hidden="1" x14ac:dyDescent="0.15">
      <c r="A69" s="3" t="s">
        <v>290</v>
      </c>
      <c r="B69" s="3" t="e">
        <f t="array" aca="1" ref="B69" ca="1">_xludf.XLOOKUP(A69,duobahlul_videos!$A$1:$A$52,duobahlul_videos!$B$1:$B$52)</f>
        <v>#NAME?</v>
      </c>
      <c r="C69" s="3" t="s">
        <v>420</v>
      </c>
      <c r="D69" s="3">
        <v>21</v>
      </c>
      <c r="E69" s="3" t="s">
        <v>421</v>
      </c>
    </row>
    <row r="70" spans="1:5" ht="13" hidden="1" x14ac:dyDescent="0.15">
      <c r="A70" s="3" t="s">
        <v>290</v>
      </c>
      <c r="B70" s="3" t="e">
        <f t="array" aca="1" ref="B70" ca="1">_xludf.XLOOKUP(A70,duobahlul_videos!$A$1:$A$52,duobahlul_videos!$B$1:$B$52)</f>
        <v>#NAME?</v>
      </c>
      <c r="C70" s="3" t="s">
        <v>422</v>
      </c>
      <c r="D70" s="3">
        <v>49</v>
      </c>
      <c r="E70" s="3" t="s">
        <v>423</v>
      </c>
    </row>
    <row r="71" spans="1:5" ht="13" hidden="1" x14ac:dyDescent="0.15">
      <c r="A71" s="3" t="s">
        <v>290</v>
      </c>
      <c r="B71" s="3" t="e">
        <f t="array" aca="1" ref="B71" ca="1">_xludf.XLOOKUP(A71,duobahlul_videos!$A$1:$A$52,duobahlul_videos!$B$1:$B$52)</f>
        <v>#NAME?</v>
      </c>
      <c r="C71" s="3" t="s">
        <v>424</v>
      </c>
      <c r="D71" s="3">
        <v>37</v>
      </c>
      <c r="E71" s="3" t="s">
        <v>425</v>
      </c>
    </row>
    <row r="72" spans="1:5" ht="13" hidden="1" x14ac:dyDescent="0.15">
      <c r="A72" s="3" t="s">
        <v>290</v>
      </c>
      <c r="B72" s="3" t="e">
        <f t="array" aca="1" ref="B72" ca="1">_xludf.XLOOKUP(A72,duobahlul_videos!$A$1:$A$52,duobahlul_videos!$B$1:$B$52)</f>
        <v>#NAME?</v>
      </c>
      <c r="C72" s="3" t="s">
        <v>426</v>
      </c>
      <c r="D72" s="3">
        <v>12</v>
      </c>
      <c r="E72" s="3" t="s">
        <v>427</v>
      </c>
    </row>
    <row r="73" spans="1:5" ht="13" hidden="1" x14ac:dyDescent="0.15">
      <c r="A73" s="3" t="s">
        <v>290</v>
      </c>
      <c r="B73" s="3" t="e">
        <f t="array" aca="1" ref="B73" ca="1">_xludf.XLOOKUP(A73,duobahlul_videos!$A$1:$A$52,duobahlul_videos!$B$1:$B$52)</f>
        <v>#NAME?</v>
      </c>
      <c r="C73" s="3" t="s">
        <v>428</v>
      </c>
      <c r="D73" s="3">
        <v>83</v>
      </c>
      <c r="E73" s="3" t="s">
        <v>429</v>
      </c>
    </row>
    <row r="74" spans="1:5" ht="13" hidden="1" x14ac:dyDescent="0.15">
      <c r="A74" s="3" t="s">
        <v>290</v>
      </c>
      <c r="B74" s="3" t="e">
        <f t="array" aca="1" ref="B74" ca="1">_xludf.XLOOKUP(A74,duobahlul_videos!$A$1:$A$52,duobahlul_videos!$B$1:$B$52)</f>
        <v>#NAME?</v>
      </c>
      <c r="C74" s="3" t="s">
        <v>430</v>
      </c>
      <c r="D74" s="3">
        <v>75</v>
      </c>
      <c r="E74" s="3" t="s">
        <v>431</v>
      </c>
    </row>
    <row r="75" spans="1:5" ht="13" hidden="1" x14ac:dyDescent="0.15">
      <c r="A75" s="3" t="s">
        <v>290</v>
      </c>
      <c r="B75" s="3" t="e">
        <f t="array" aca="1" ref="B75" ca="1">_xludf.XLOOKUP(A75,duobahlul_videos!$A$1:$A$52,duobahlul_videos!$B$1:$B$52)</f>
        <v>#NAME?</v>
      </c>
      <c r="C75" s="3" t="s">
        <v>432</v>
      </c>
      <c r="D75" s="3">
        <v>15</v>
      </c>
      <c r="E75" s="3" t="s">
        <v>433</v>
      </c>
    </row>
    <row r="76" spans="1:5" ht="13" hidden="1" x14ac:dyDescent="0.15">
      <c r="A76" s="3" t="s">
        <v>290</v>
      </c>
      <c r="B76" s="3" t="e">
        <f t="array" aca="1" ref="B76" ca="1">_xludf.XLOOKUP(A76,duobahlul_videos!$A$1:$A$52,duobahlul_videos!$B$1:$B$52)</f>
        <v>#NAME?</v>
      </c>
      <c r="C76" s="3" t="s">
        <v>434</v>
      </c>
      <c r="D76" s="3">
        <v>67</v>
      </c>
      <c r="E76" s="3" t="s">
        <v>435</v>
      </c>
    </row>
    <row r="77" spans="1:5" ht="13" hidden="1" x14ac:dyDescent="0.15">
      <c r="A77" s="3" t="s">
        <v>290</v>
      </c>
      <c r="B77" s="3" t="e">
        <f t="array" aca="1" ref="B77" ca="1">_xludf.XLOOKUP(A77,duobahlul_videos!$A$1:$A$52,duobahlul_videos!$B$1:$B$52)</f>
        <v>#NAME?</v>
      </c>
      <c r="C77" s="3" t="s">
        <v>436</v>
      </c>
      <c r="D77" s="3">
        <v>31</v>
      </c>
      <c r="E77" s="3" t="s">
        <v>437</v>
      </c>
    </row>
    <row r="78" spans="1:5" ht="13" hidden="1" x14ac:dyDescent="0.15">
      <c r="A78" s="3" t="s">
        <v>290</v>
      </c>
      <c r="B78" s="3" t="e">
        <f t="array" aca="1" ref="B78" ca="1">_xludf.XLOOKUP(A78,duobahlul_videos!$A$1:$A$52,duobahlul_videos!$B$1:$B$52)</f>
        <v>#NAME?</v>
      </c>
      <c r="C78" s="3" t="s">
        <v>438</v>
      </c>
      <c r="D78" s="3">
        <v>2</v>
      </c>
      <c r="E78" s="3" t="s">
        <v>439</v>
      </c>
    </row>
    <row r="79" spans="1:5" ht="13" hidden="1" x14ac:dyDescent="0.15">
      <c r="A79" s="3" t="s">
        <v>290</v>
      </c>
      <c r="B79" s="3" t="e">
        <f t="array" aca="1" ref="B79" ca="1">_xludf.XLOOKUP(A79,duobahlul_videos!$A$1:$A$52,duobahlul_videos!$B$1:$B$52)</f>
        <v>#NAME?</v>
      </c>
      <c r="C79" s="3" t="s">
        <v>440</v>
      </c>
      <c r="D79" s="3">
        <v>2</v>
      </c>
      <c r="E79" s="3" t="s">
        <v>441</v>
      </c>
    </row>
    <row r="80" spans="1:5" ht="13" hidden="1" x14ac:dyDescent="0.15">
      <c r="A80" s="3" t="s">
        <v>290</v>
      </c>
      <c r="B80" s="3" t="e">
        <f t="array" aca="1" ref="B80" ca="1">_xludf.XLOOKUP(A80,duobahlul_videos!$A$1:$A$52,duobahlul_videos!$B$1:$B$52)</f>
        <v>#NAME?</v>
      </c>
      <c r="C80" s="3" t="s">
        <v>442</v>
      </c>
      <c r="D80" s="3">
        <v>11</v>
      </c>
      <c r="E80" s="3" t="s">
        <v>443</v>
      </c>
    </row>
    <row r="81" spans="1:5" ht="13" hidden="1" x14ac:dyDescent="0.15">
      <c r="A81" s="3" t="s">
        <v>290</v>
      </c>
      <c r="B81" s="3" t="e">
        <f t="array" aca="1" ref="B81" ca="1">_xludf.XLOOKUP(A81,duobahlul_videos!$A$1:$A$52,duobahlul_videos!$B$1:$B$52)</f>
        <v>#NAME?</v>
      </c>
      <c r="C81" s="3" t="s">
        <v>444</v>
      </c>
      <c r="D81" s="3">
        <v>15</v>
      </c>
      <c r="E81" s="3" t="s">
        <v>445</v>
      </c>
    </row>
    <row r="82" spans="1:5" ht="13" hidden="1" x14ac:dyDescent="0.15">
      <c r="A82" s="3" t="s">
        <v>81</v>
      </c>
      <c r="B82" s="3" t="e">
        <f t="array" aca="1" ref="B82" ca="1">_xludf.XLOOKUP(A82,duobahlul_videos!$A$1:$A$52,duobahlul_videos!$B$1:$B$52)</f>
        <v>#NAME?</v>
      </c>
      <c r="C82" s="3" t="s">
        <v>446</v>
      </c>
      <c r="D82" s="3">
        <v>181</v>
      </c>
      <c r="E82" s="3" t="s">
        <v>447</v>
      </c>
    </row>
    <row r="83" spans="1:5" ht="13" hidden="1" x14ac:dyDescent="0.15">
      <c r="A83" s="3" t="s">
        <v>81</v>
      </c>
      <c r="B83" s="3" t="e">
        <f t="array" aca="1" ref="B83" ca="1">_xludf.XLOOKUP(A83,duobahlul_videos!$A$1:$A$52,duobahlul_videos!$B$1:$B$52)</f>
        <v>#NAME?</v>
      </c>
      <c r="C83" s="3" t="s">
        <v>448</v>
      </c>
      <c r="D83" s="3">
        <v>739</v>
      </c>
      <c r="E83" s="3" t="s">
        <v>449</v>
      </c>
    </row>
    <row r="84" spans="1:5" ht="13" hidden="1" x14ac:dyDescent="0.15">
      <c r="A84" s="3" t="s">
        <v>81</v>
      </c>
      <c r="B84" s="3" t="e">
        <f t="array" aca="1" ref="B84" ca="1">_xludf.XLOOKUP(A84,duobahlul_videos!$A$1:$A$52,duobahlul_videos!$B$1:$B$52)</f>
        <v>#NAME?</v>
      </c>
      <c r="C84" s="3" t="s">
        <v>450</v>
      </c>
      <c r="D84" s="3">
        <v>60</v>
      </c>
      <c r="E84" s="3" t="s">
        <v>451</v>
      </c>
    </row>
    <row r="85" spans="1:5" ht="13" hidden="1" x14ac:dyDescent="0.15">
      <c r="A85" s="3" t="s">
        <v>81</v>
      </c>
      <c r="B85" s="3" t="e">
        <f t="array" aca="1" ref="B85" ca="1">_xludf.XLOOKUP(A85,duobahlul_videos!$A$1:$A$52,duobahlul_videos!$B$1:$B$52)</f>
        <v>#NAME?</v>
      </c>
      <c r="C85" s="3" t="s">
        <v>452</v>
      </c>
      <c r="D85" s="3">
        <v>139</v>
      </c>
      <c r="E85" s="3" t="s">
        <v>453</v>
      </c>
    </row>
    <row r="86" spans="1:5" ht="13" hidden="1" x14ac:dyDescent="0.15">
      <c r="A86" s="3" t="s">
        <v>81</v>
      </c>
      <c r="B86" s="3" t="e">
        <f t="array" aca="1" ref="B86" ca="1">_xludf.XLOOKUP(A86,duobahlul_videos!$A$1:$A$52,duobahlul_videos!$B$1:$B$52)</f>
        <v>#NAME?</v>
      </c>
      <c r="C86" s="3" t="s">
        <v>454</v>
      </c>
      <c r="D86" s="3">
        <v>269</v>
      </c>
      <c r="E86" s="3" t="s">
        <v>455</v>
      </c>
    </row>
    <row r="87" spans="1:5" ht="13" hidden="1" x14ac:dyDescent="0.15">
      <c r="A87" s="3" t="s">
        <v>81</v>
      </c>
      <c r="B87" s="3" t="e">
        <f t="array" aca="1" ref="B87" ca="1">_xludf.XLOOKUP(A87,duobahlul_videos!$A$1:$A$52,duobahlul_videos!$B$1:$B$52)</f>
        <v>#NAME?</v>
      </c>
      <c r="C87" s="3" t="s">
        <v>456</v>
      </c>
      <c r="D87" s="3">
        <v>209</v>
      </c>
      <c r="E87" s="3" t="s">
        <v>457</v>
      </c>
    </row>
    <row r="88" spans="1:5" ht="13" hidden="1" x14ac:dyDescent="0.15">
      <c r="A88" s="3" t="s">
        <v>81</v>
      </c>
      <c r="B88" s="3" t="e">
        <f t="array" aca="1" ref="B88" ca="1">_xludf.XLOOKUP(A88,duobahlul_videos!$A$1:$A$52,duobahlul_videos!$B$1:$B$52)</f>
        <v>#NAME?</v>
      </c>
      <c r="C88" s="3" t="s">
        <v>458</v>
      </c>
      <c r="D88" s="3">
        <v>28</v>
      </c>
      <c r="E88" s="3" t="s">
        <v>459</v>
      </c>
    </row>
    <row r="89" spans="1:5" ht="13" hidden="1" x14ac:dyDescent="0.15">
      <c r="A89" s="3" t="s">
        <v>81</v>
      </c>
      <c r="B89" s="3" t="e">
        <f t="array" aca="1" ref="B89" ca="1">_xludf.XLOOKUP(A89,duobahlul_videos!$A$1:$A$52,duobahlul_videos!$B$1:$B$52)</f>
        <v>#NAME?</v>
      </c>
      <c r="C89" s="3" t="s">
        <v>460</v>
      </c>
      <c r="D89" s="3">
        <v>192</v>
      </c>
      <c r="E89" s="3" t="s">
        <v>461</v>
      </c>
    </row>
    <row r="90" spans="1:5" ht="13" hidden="1" x14ac:dyDescent="0.15">
      <c r="A90" s="3" t="s">
        <v>81</v>
      </c>
      <c r="B90" s="3" t="e">
        <f t="array" aca="1" ref="B90" ca="1">_xludf.XLOOKUP(A90,duobahlul_videos!$A$1:$A$52,duobahlul_videos!$B$1:$B$52)</f>
        <v>#NAME?</v>
      </c>
      <c r="C90" s="3" t="s">
        <v>462</v>
      </c>
      <c r="D90" s="3">
        <v>78</v>
      </c>
      <c r="E90" s="3" t="s">
        <v>463</v>
      </c>
    </row>
    <row r="91" spans="1:5" ht="13" hidden="1" x14ac:dyDescent="0.15">
      <c r="A91" s="3" t="s">
        <v>81</v>
      </c>
      <c r="B91" s="3" t="e">
        <f t="array" aca="1" ref="B91" ca="1">_xludf.XLOOKUP(A91,duobahlul_videos!$A$1:$A$52,duobahlul_videos!$B$1:$B$52)</f>
        <v>#NAME?</v>
      </c>
      <c r="C91" s="3" t="s">
        <v>464</v>
      </c>
      <c r="D91" s="3">
        <v>171</v>
      </c>
      <c r="E91" s="3" t="s">
        <v>465</v>
      </c>
    </row>
    <row r="92" spans="1:5" ht="13" hidden="1" x14ac:dyDescent="0.15">
      <c r="A92" s="3" t="s">
        <v>81</v>
      </c>
      <c r="B92" s="3" t="e">
        <f t="array" aca="1" ref="B92" ca="1">_xludf.XLOOKUP(A92,duobahlul_videos!$A$1:$A$52,duobahlul_videos!$B$1:$B$52)</f>
        <v>#NAME?</v>
      </c>
      <c r="C92" s="3" t="s">
        <v>466</v>
      </c>
      <c r="D92" s="3">
        <v>62</v>
      </c>
      <c r="E92" s="3" t="s">
        <v>467</v>
      </c>
    </row>
    <row r="93" spans="1:5" ht="13" hidden="1" x14ac:dyDescent="0.15">
      <c r="A93" s="3" t="s">
        <v>81</v>
      </c>
      <c r="B93" s="3" t="e">
        <f t="array" aca="1" ref="B93" ca="1">_xludf.XLOOKUP(A93,duobahlul_videos!$A$1:$A$52,duobahlul_videos!$B$1:$B$52)</f>
        <v>#NAME?</v>
      </c>
      <c r="C93" s="3" t="s">
        <v>468</v>
      </c>
      <c r="D93" s="3">
        <v>394</v>
      </c>
      <c r="E93" s="3" t="s">
        <v>469</v>
      </c>
    </row>
    <row r="94" spans="1:5" ht="13" hidden="1" x14ac:dyDescent="0.15">
      <c r="A94" s="3" t="s">
        <v>81</v>
      </c>
      <c r="B94" s="3" t="e">
        <f t="array" aca="1" ref="B94" ca="1">_xludf.XLOOKUP(A94,duobahlul_videos!$A$1:$A$52,duobahlul_videos!$B$1:$B$52)</f>
        <v>#NAME?</v>
      </c>
      <c r="C94" s="3" t="s">
        <v>470</v>
      </c>
      <c r="D94" s="3">
        <v>8</v>
      </c>
      <c r="E94" s="3" t="s">
        <v>471</v>
      </c>
    </row>
    <row r="95" spans="1:5" ht="13" hidden="1" x14ac:dyDescent="0.15">
      <c r="A95" s="3" t="s">
        <v>81</v>
      </c>
      <c r="B95" s="3" t="e">
        <f t="array" aca="1" ref="B95" ca="1">_xludf.XLOOKUP(A95,duobahlul_videos!$A$1:$A$52,duobahlul_videos!$B$1:$B$52)</f>
        <v>#NAME?</v>
      </c>
      <c r="C95" s="3" t="s">
        <v>472</v>
      </c>
      <c r="D95" s="3">
        <v>655</v>
      </c>
      <c r="E95" s="3" t="s">
        <v>473</v>
      </c>
    </row>
    <row r="96" spans="1:5" ht="13" hidden="1" x14ac:dyDescent="0.15">
      <c r="A96" s="3" t="s">
        <v>81</v>
      </c>
      <c r="B96" s="3" t="e">
        <f t="array" aca="1" ref="B96" ca="1">_xludf.XLOOKUP(A96,duobahlul_videos!$A$1:$A$52,duobahlul_videos!$B$1:$B$52)</f>
        <v>#NAME?</v>
      </c>
      <c r="C96" s="3" t="s">
        <v>474</v>
      </c>
      <c r="D96" s="3">
        <v>29</v>
      </c>
      <c r="E96" s="3" t="s">
        <v>475</v>
      </c>
    </row>
    <row r="97" spans="1:5" ht="13" hidden="1" x14ac:dyDescent="0.15">
      <c r="A97" s="3" t="s">
        <v>81</v>
      </c>
      <c r="B97" s="3" t="e">
        <f t="array" aca="1" ref="B97" ca="1">_xludf.XLOOKUP(A97,duobahlul_videos!$A$1:$A$52,duobahlul_videos!$B$1:$B$52)</f>
        <v>#NAME?</v>
      </c>
      <c r="C97" s="3" t="s">
        <v>476</v>
      </c>
      <c r="D97" s="3">
        <v>58</v>
      </c>
      <c r="E97" s="3" t="s">
        <v>477</v>
      </c>
    </row>
    <row r="98" spans="1:5" ht="13" hidden="1" x14ac:dyDescent="0.15">
      <c r="A98" s="3" t="s">
        <v>81</v>
      </c>
      <c r="B98" s="3" t="e">
        <f t="array" aca="1" ref="B98" ca="1">_xludf.XLOOKUP(A98,duobahlul_videos!$A$1:$A$52,duobahlul_videos!$B$1:$B$52)</f>
        <v>#NAME?</v>
      </c>
      <c r="C98" s="3" t="s">
        <v>478</v>
      </c>
      <c r="D98" s="3">
        <v>38</v>
      </c>
      <c r="E98" s="3" t="s">
        <v>479</v>
      </c>
    </row>
    <row r="99" spans="1:5" ht="13" hidden="1" x14ac:dyDescent="0.15">
      <c r="A99" s="3" t="s">
        <v>81</v>
      </c>
      <c r="B99" s="3" t="e">
        <f t="array" aca="1" ref="B99" ca="1">_xludf.XLOOKUP(A99,duobahlul_videos!$A$1:$A$52,duobahlul_videos!$B$1:$B$52)</f>
        <v>#NAME?</v>
      </c>
      <c r="C99" s="3" t="s">
        <v>480</v>
      </c>
      <c r="D99" s="3">
        <v>76</v>
      </c>
      <c r="E99" s="3" t="s">
        <v>481</v>
      </c>
    </row>
    <row r="100" spans="1:5" ht="13" hidden="1" x14ac:dyDescent="0.15">
      <c r="A100" s="3" t="s">
        <v>81</v>
      </c>
      <c r="B100" s="3" t="e">
        <f t="array" aca="1" ref="B100" ca="1">_xludf.XLOOKUP(A100,duobahlul_videos!$A$1:$A$52,duobahlul_videos!$B$1:$B$52)</f>
        <v>#NAME?</v>
      </c>
      <c r="C100" s="3" t="s">
        <v>482</v>
      </c>
      <c r="D100" s="3">
        <v>57</v>
      </c>
      <c r="E100" s="3" t="s">
        <v>483</v>
      </c>
    </row>
    <row r="101" spans="1:5" ht="13" hidden="1" x14ac:dyDescent="0.15">
      <c r="A101" s="3" t="s">
        <v>81</v>
      </c>
      <c r="B101" s="3" t="e">
        <f t="array" aca="1" ref="B101" ca="1">_xludf.XLOOKUP(A101,duobahlul_videos!$A$1:$A$52,duobahlul_videos!$B$1:$B$52)</f>
        <v>#NAME?</v>
      </c>
      <c r="C101" s="3" t="s">
        <v>484</v>
      </c>
      <c r="D101" s="3">
        <v>54</v>
      </c>
      <c r="E101" s="3" t="s">
        <v>485</v>
      </c>
    </row>
    <row r="102" spans="1:5" ht="13" hidden="1" x14ac:dyDescent="0.15">
      <c r="A102" s="3" t="s">
        <v>60</v>
      </c>
      <c r="B102" s="3" t="e">
        <f t="array" aca="1" ref="B102" ca="1">_xludf.XLOOKUP(A102,duobahlul_videos!$A$1:$A$52,duobahlul_videos!$B$1:$B$52)</f>
        <v>#NAME?</v>
      </c>
      <c r="C102" s="3" t="s">
        <v>486</v>
      </c>
      <c r="D102" s="3">
        <v>373</v>
      </c>
      <c r="E102" s="3" t="s">
        <v>487</v>
      </c>
    </row>
    <row r="103" spans="1:5" ht="13" hidden="1" x14ac:dyDescent="0.15">
      <c r="A103" s="3" t="s">
        <v>60</v>
      </c>
      <c r="B103" s="3" t="e">
        <f t="array" aca="1" ref="B103" ca="1">_xludf.XLOOKUP(A103,duobahlul_videos!$A$1:$A$52,duobahlul_videos!$B$1:$B$52)</f>
        <v>#NAME?</v>
      </c>
      <c r="C103" s="3" t="s">
        <v>488</v>
      </c>
      <c r="D103" s="3">
        <v>218</v>
      </c>
      <c r="E103" s="3" t="s">
        <v>489</v>
      </c>
    </row>
    <row r="104" spans="1:5" ht="13" hidden="1" x14ac:dyDescent="0.15">
      <c r="A104" s="3" t="s">
        <v>60</v>
      </c>
      <c r="B104" s="3" t="e">
        <f t="array" aca="1" ref="B104" ca="1">_xludf.XLOOKUP(A104,duobahlul_videos!$A$1:$A$52,duobahlul_videos!$B$1:$B$52)</f>
        <v>#NAME?</v>
      </c>
      <c r="C104" s="3" t="s">
        <v>490</v>
      </c>
      <c r="D104" s="3">
        <v>322</v>
      </c>
      <c r="E104" s="3" t="s">
        <v>491</v>
      </c>
    </row>
    <row r="105" spans="1:5" ht="13" hidden="1" x14ac:dyDescent="0.15">
      <c r="A105" s="3" t="s">
        <v>60</v>
      </c>
      <c r="B105" s="3" t="e">
        <f t="array" aca="1" ref="B105" ca="1">_xludf.XLOOKUP(A105,duobahlul_videos!$A$1:$A$52,duobahlul_videos!$B$1:$B$52)</f>
        <v>#NAME?</v>
      </c>
      <c r="C105" s="3" t="s">
        <v>492</v>
      </c>
      <c r="D105" s="3">
        <v>149</v>
      </c>
      <c r="E105" s="3" t="s">
        <v>493</v>
      </c>
    </row>
    <row r="106" spans="1:5" ht="13" hidden="1" x14ac:dyDescent="0.15">
      <c r="A106" s="3" t="s">
        <v>60</v>
      </c>
      <c r="B106" s="3" t="e">
        <f t="array" aca="1" ref="B106" ca="1">_xludf.XLOOKUP(A106,duobahlul_videos!$A$1:$A$52,duobahlul_videos!$B$1:$B$52)</f>
        <v>#NAME?</v>
      </c>
      <c r="C106" s="3" t="s">
        <v>494</v>
      </c>
      <c r="D106" s="3">
        <v>264</v>
      </c>
      <c r="E106" s="3" t="s">
        <v>495</v>
      </c>
    </row>
    <row r="107" spans="1:5" ht="13" hidden="1" x14ac:dyDescent="0.15">
      <c r="A107" s="3" t="s">
        <v>60</v>
      </c>
      <c r="B107" s="3" t="e">
        <f t="array" aca="1" ref="B107" ca="1">_xludf.XLOOKUP(A107,duobahlul_videos!$A$1:$A$52,duobahlul_videos!$B$1:$B$52)</f>
        <v>#NAME?</v>
      </c>
      <c r="C107" s="3" t="s">
        <v>496</v>
      </c>
      <c r="D107" s="3">
        <v>116</v>
      </c>
      <c r="E107" s="3" t="s">
        <v>497</v>
      </c>
    </row>
    <row r="108" spans="1:5" ht="13" hidden="1" x14ac:dyDescent="0.15">
      <c r="A108" s="3" t="s">
        <v>60</v>
      </c>
      <c r="B108" s="3" t="e">
        <f t="array" aca="1" ref="B108" ca="1">_xludf.XLOOKUP(A108,duobahlul_videos!$A$1:$A$52,duobahlul_videos!$B$1:$B$52)</f>
        <v>#NAME?</v>
      </c>
      <c r="C108" s="3" t="s">
        <v>498</v>
      </c>
      <c r="D108" s="3">
        <v>243</v>
      </c>
      <c r="E108" s="3" t="s">
        <v>499</v>
      </c>
    </row>
    <row r="109" spans="1:5" ht="13" hidden="1" x14ac:dyDescent="0.15">
      <c r="A109" s="3" t="s">
        <v>60</v>
      </c>
      <c r="B109" s="3" t="e">
        <f t="array" aca="1" ref="B109" ca="1">_xludf.XLOOKUP(A109,duobahlul_videos!$A$1:$A$52,duobahlul_videos!$B$1:$B$52)</f>
        <v>#NAME?</v>
      </c>
      <c r="C109" s="3" t="s">
        <v>500</v>
      </c>
      <c r="D109" s="3">
        <v>152</v>
      </c>
      <c r="E109" s="3" t="s">
        <v>501</v>
      </c>
    </row>
    <row r="110" spans="1:5" ht="13" hidden="1" x14ac:dyDescent="0.15">
      <c r="A110" s="3" t="s">
        <v>60</v>
      </c>
      <c r="B110" s="3" t="e">
        <f t="array" aca="1" ref="B110" ca="1">_xludf.XLOOKUP(A110,duobahlul_videos!$A$1:$A$52,duobahlul_videos!$B$1:$B$52)</f>
        <v>#NAME?</v>
      </c>
      <c r="C110" s="3" t="s">
        <v>502</v>
      </c>
      <c r="D110" s="3">
        <v>77</v>
      </c>
      <c r="E110" s="3" t="s">
        <v>503</v>
      </c>
    </row>
    <row r="111" spans="1:5" ht="13" hidden="1" x14ac:dyDescent="0.15">
      <c r="A111" s="3" t="s">
        <v>60</v>
      </c>
      <c r="B111" s="3" t="e">
        <f t="array" aca="1" ref="B111" ca="1">_xludf.XLOOKUP(A111,duobahlul_videos!$A$1:$A$52,duobahlul_videos!$B$1:$B$52)</f>
        <v>#NAME?</v>
      </c>
      <c r="C111" s="3" t="s">
        <v>504</v>
      </c>
      <c r="D111" s="3">
        <v>57</v>
      </c>
      <c r="E111" s="3" t="s">
        <v>505</v>
      </c>
    </row>
    <row r="112" spans="1:5" ht="13" hidden="1" x14ac:dyDescent="0.15">
      <c r="A112" s="3" t="s">
        <v>60</v>
      </c>
      <c r="B112" s="3" t="e">
        <f t="array" aca="1" ref="B112" ca="1">_xludf.XLOOKUP(A112,duobahlul_videos!$A$1:$A$52,duobahlul_videos!$B$1:$B$52)</f>
        <v>#NAME?</v>
      </c>
      <c r="C112" s="3" t="s">
        <v>506</v>
      </c>
      <c r="D112" s="3">
        <v>198</v>
      </c>
      <c r="E112" s="3" t="s">
        <v>507</v>
      </c>
    </row>
    <row r="113" spans="1:5" ht="13" hidden="1" x14ac:dyDescent="0.15">
      <c r="A113" s="3" t="s">
        <v>60</v>
      </c>
      <c r="B113" s="3" t="e">
        <f t="array" aca="1" ref="B113" ca="1">_xludf.XLOOKUP(A113,duobahlul_videos!$A$1:$A$52,duobahlul_videos!$B$1:$B$52)</f>
        <v>#NAME?</v>
      </c>
      <c r="C113" s="3" t="s">
        <v>508</v>
      </c>
      <c r="D113" s="3">
        <v>29</v>
      </c>
      <c r="E113" s="3" t="s">
        <v>509</v>
      </c>
    </row>
    <row r="114" spans="1:5" ht="13" hidden="1" x14ac:dyDescent="0.15">
      <c r="A114" s="3" t="s">
        <v>60</v>
      </c>
      <c r="B114" s="3" t="e">
        <f t="array" aca="1" ref="B114" ca="1">_xludf.XLOOKUP(A114,duobahlul_videos!$A$1:$A$52,duobahlul_videos!$B$1:$B$52)</f>
        <v>#NAME?</v>
      </c>
      <c r="C114" s="3" t="s">
        <v>510</v>
      </c>
      <c r="D114" s="3">
        <v>41</v>
      </c>
      <c r="E114" s="3" t="s">
        <v>511</v>
      </c>
    </row>
    <row r="115" spans="1:5" ht="13" hidden="1" x14ac:dyDescent="0.15">
      <c r="A115" s="3" t="s">
        <v>60</v>
      </c>
      <c r="B115" s="3" t="e">
        <f t="array" aca="1" ref="B115" ca="1">_xludf.XLOOKUP(A115,duobahlul_videos!$A$1:$A$52,duobahlul_videos!$B$1:$B$52)</f>
        <v>#NAME?</v>
      </c>
      <c r="C115" s="3" t="s">
        <v>512</v>
      </c>
      <c r="D115" s="3">
        <v>29</v>
      </c>
      <c r="E115" s="3" t="s">
        <v>513</v>
      </c>
    </row>
    <row r="116" spans="1:5" ht="13" hidden="1" x14ac:dyDescent="0.15">
      <c r="A116" s="3" t="s">
        <v>60</v>
      </c>
      <c r="B116" s="3" t="e">
        <f t="array" aca="1" ref="B116" ca="1">_xludf.XLOOKUP(A116,duobahlul_videos!$A$1:$A$52,duobahlul_videos!$B$1:$B$52)</f>
        <v>#NAME?</v>
      </c>
      <c r="C116" s="3" t="s">
        <v>514</v>
      </c>
      <c r="D116" s="3">
        <v>66</v>
      </c>
      <c r="E116" s="3" t="s">
        <v>515</v>
      </c>
    </row>
    <row r="117" spans="1:5" ht="13" hidden="1" x14ac:dyDescent="0.15">
      <c r="A117" s="3" t="s">
        <v>60</v>
      </c>
      <c r="B117" s="3" t="e">
        <f t="array" aca="1" ref="B117" ca="1">_xludf.XLOOKUP(A117,duobahlul_videos!$A$1:$A$52,duobahlul_videos!$B$1:$B$52)</f>
        <v>#NAME?</v>
      </c>
      <c r="C117" s="3" t="s">
        <v>516</v>
      </c>
      <c r="D117" s="3">
        <v>28</v>
      </c>
      <c r="E117" s="3" t="s">
        <v>517</v>
      </c>
    </row>
    <row r="118" spans="1:5" ht="13" hidden="1" x14ac:dyDescent="0.15">
      <c r="A118" s="3" t="s">
        <v>60</v>
      </c>
      <c r="B118" s="3" t="e">
        <f t="array" aca="1" ref="B118" ca="1">_xludf.XLOOKUP(A118,duobahlul_videos!$A$1:$A$52,duobahlul_videos!$B$1:$B$52)</f>
        <v>#NAME?</v>
      </c>
      <c r="C118" s="3" t="s">
        <v>518</v>
      </c>
      <c r="D118" s="3">
        <v>120</v>
      </c>
      <c r="E118" s="3" t="s">
        <v>519</v>
      </c>
    </row>
    <row r="119" spans="1:5" ht="13" hidden="1" x14ac:dyDescent="0.15">
      <c r="A119" s="3" t="s">
        <v>60</v>
      </c>
      <c r="B119" s="3" t="e">
        <f t="array" aca="1" ref="B119" ca="1">_xludf.XLOOKUP(A119,duobahlul_videos!$A$1:$A$52,duobahlul_videos!$B$1:$B$52)</f>
        <v>#NAME?</v>
      </c>
      <c r="C119" s="3" t="s">
        <v>520</v>
      </c>
      <c r="D119" s="3">
        <v>22</v>
      </c>
      <c r="E119" s="3" t="s">
        <v>521</v>
      </c>
    </row>
    <row r="120" spans="1:5" ht="13" hidden="1" x14ac:dyDescent="0.15">
      <c r="A120" s="3" t="s">
        <v>60</v>
      </c>
      <c r="B120" s="3" t="e">
        <f t="array" aca="1" ref="B120" ca="1">_xludf.XLOOKUP(A120,duobahlul_videos!$A$1:$A$52,duobahlul_videos!$B$1:$B$52)</f>
        <v>#NAME?</v>
      </c>
      <c r="C120" s="3" t="s">
        <v>522</v>
      </c>
      <c r="D120" s="3">
        <v>33</v>
      </c>
      <c r="E120" s="3" t="s">
        <v>523</v>
      </c>
    </row>
    <row r="121" spans="1:5" ht="13" hidden="1" x14ac:dyDescent="0.15">
      <c r="A121" s="3" t="s">
        <v>60</v>
      </c>
      <c r="B121" s="3" t="e">
        <f t="array" aca="1" ref="B121" ca="1">_xludf.XLOOKUP(A121,duobahlul_videos!$A$1:$A$52,duobahlul_videos!$B$1:$B$52)</f>
        <v>#NAME?</v>
      </c>
      <c r="C121" s="3" t="s">
        <v>524</v>
      </c>
      <c r="D121" s="3">
        <v>26</v>
      </c>
      <c r="E121" s="3" t="s">
        <v>525</v>
      </c>
    </row>
    <row r="122" spans="1:5" ht="13" hidden="1" x14ac:dyDescent="0.15">
      <c r="A122" s="3" t="s">
        <v>210</v>
      </c>
      <c r="B122" s="3" t="e">
        <f t="array" aca="1" ref="B122" ca="1">_xludf.XLOOKUP(A122,duobahlul_videos!$A$1:$A$52,duobahlul_videos!$B$1:$B$52)</f>
        <v>#NAME?</v>
      </c>
      <c r="C122" s="3" t="s">
        <v>526</v>
      </c>
      <c r="D122" s="3">
        <v>436</v>
      </c>
      <c r="E122" s="3" t="s">
        <v>527</v>
      </c>
    </row>
    <row r="123" spans="1:5" ht="13" hidden="1" x14ac:dyDescent="0.15">
      <c r="A123" s="3" t="s">
        <v>210</v>
      </c>
      <c r="B123" s="3" t="e">
        <f t="array" aca="1" ref="B123" ca="1">_xludf.XLOOKUP(A123,duobahlul_videos!$A$1:$A$52,duobahlul_videos!$B$1:$B$52)</f>
        <v>#NAME?</v>
      </c>
      <c r="C123" s="3" t="s">
        <v>528</v>
      </c>
      <c r="D123" s="3">
        <v>167</v>
      </c>
      <c r="E123" s="3" t="s">
        <v>529</v>
      </c>
    </row>
    <row r="124" spans="1:5" ht="13" hidden="1" x14ac:dyDescent="0.15">
      <c r="A124" s="3" t="s">
        <v>210</v>
      </c>
      <c r="B124" s="3" t="e">
        <f t="array" aca="1" ref="B124" ca="1">_xludf.XLOOKUP(A124,duobahlul_videos!$A$1:$A$52,duobahlul_videos!$B$1:$B$52)</f>
        <v>#NAME?</v>
      </c>
      <c r="C124" s="3" t="s">
        <v>530</v>
      </c>
      <c r="D124" s="3">
        <v>111</v>
      </c>
      <c r="E124" s="3" t="s">
        <v>531</v>
      </c>
    </row>
    <row r="125" spans="1:5" ht="13" hidden="1" x14ac:dyDescent="0.15">
      <c r="A125" s="3" t="s">
        <v>210</v>
      </c>
      <c r="B125" s="3" t="e">
        <f t="array" aca="1" ref="B125" ca="1">_xludf.XLOOKUP(A125,duobahlul_videos!$A$1:$A$52,duobahlul_videos!$B$1:$B$52)</f>
        <v>#NAME?</v>
      </c>
      <c r="C125" s="3" t="s">
        <v>532</v>
      </c>
      <c r="D125" s="3">
        <v>58</v>
      </c>
      <c r="E125" s="3" t="s">
        <v>533</v>
      </c>
    </row>
    <row r="126" spans="1:5" ht="13" hidden="1" x14ac:dyDescent="0.15">
      <c r="A126" s="3" t="s">
        <v>210</v>
      </c>
      <c r="B126" s="3" t="e">
        <f t="array" aca="1" ref="B126" ca="1">_xludf.XLOOKUP(A126,duobahlul_videos!$A$1:$A$52,duobahlul_videos!$B$1:$B$52)</f>
        <v>#NAME?</v>
      </c>
      <c r="C126" s="3" t="s">
        <v>534</v>
      </c>
      <c r="D126" s="3">
        <v>117</v>
      </c>
      <c r="E126" s="3" t="s">
        <v>535</v>
      </c>
    </row>
    <row r="127" spans="1:5" ht="13" hidden="1" x14ac:dyDescent="0.15">
      <c r="A127" s="3" t="s">
        <v>210</v>
      </c>
      <c r="B127" s="3" t="e">
        <f t="array" aca="1" ref="B127" ca="1">_xludf.XLOOKUP(A127,duobahlul_videos!$A$1:$A$52,duobahlul_videos!$B$1:$B$52)</f>
        <v>#NAME?</v>
      </c>
      <c r="C127" s="3" t="s">
        <v>536</v>
      </c>
      <c r="D127" s="3">
        <v>96</v>
      </c>
      <c r="E127" s="3" t="s">
        <v>537</v>
      </c>
    </row>
    <row r="128" spans="1:5" ht="13" hidden="1" x14ac:dyDescent="0.15">
      <c r="A128" s="3" t="s">
        <v>210</v>
      </c>
      <c r="B128" s="3" t="e">
        <f t="array" aca="1" ref="B128" ca="1">_xludf.XLOOKUP(A128,duobahlul_videos!$A$1:$A$52,duobahlul_videos!$B$1:$B$52)</f>
        <v>#NAME?</v>
      </c>
      <c r="C128" s="3" t="s">
        <v>538</v>
      </c>
      <c r="D128" s="3">
        <v>60</v>
      </c>
      <c r="E128" s="3" t="s">
        <v>539</v>
      </c>
    </row>
    <row r="129" spans="1:5" ht="13" hidden="1" x14ac:dyDescent="0.15">
      <c r="A129" s="3" t="s">
        <v>210</v>
      </c>
      <c r="B129" s="3" t="e">
        <f t="array" aca="1" ref="B129" ca="1">_xludf.XLOOKUP(A129,duobahlul_videos!$A$1:$A$52,duobahlul_videos!$B$1:$B$52)</f>
        <v>#NAME?</v>
      </c>
      <c r="C129" s="3" t="s">
        <v>540</v>
      </c>
      <c r="D129" s="3">
        <v>45</v>
      </c>
      <c r="E129" s="3" t="s">
        <v>541</v>
      </c>
    </row>
    <row r="130" spans="1:5" ht="13" hidden="1" x14ac:dyDescent="0.15">
      <c r="A130" s="3" t="s">
        <v>210</v>
      </c>
      <c r="B130" s="3" t="e">
        <f t="array" aca="1" ref="B130" ca="1">_xludf.XLOOKUP(A130,duobahlul_videos!$A$1:$A$52,duobahlul_videos!$B$1:$B$52)</f>
        <v>#NAME?</v>
      </c>
      <c r="C130" s="3" t="s">
        <v>542</v>
      </c>
      <c r="D130" s="3">
        <v>111</v>
      </c>
      <c r="E130" s="3" t="s">
        <v>543</v>
      </c>
    </row>
    <row r="131" spans="1:5" ht="13" hidden="1" x14ac:dyDescent="0.15">
      <c r="A131" s="3" t="s">
        <v>210</v>
      </c>
      <c r="B131" s="3" t="e">
        <f t="array" aca="1" ref="B131" ca="1">_xludf.XLOOKUP(A131,duobahlul_videos!$A$1:$A$52,duobahlul_videos!$B$1:$B$52)</f>
        <v>#NAME?</v>
      </c>
      <c r="C131" s="3" t="s">
        <v>544</v>
      </c>
      <c r="D131" s="3">
        <v>7</v>
      </c>
      <c r="E131" s="3" t="s">
        <v>545</v>
      </c>
    </row>
    <row r="132" spans="1:5" ht="13" hidden="1" x14ac:dyDescent="0.15">
      <c r="A132" s="3" t="s">
        <v>210</v>
      </c>
      <c r="B132" s="3" t="e">
        <f t="array" aca="1" ref="B132" ca="1">_xludf.XLOOKUP(A132,duobahlul_videos!$A$1:$A$52,duobahlul_videos!$B$1:$B$52)</f>
        <v>#NAME?</v>
      </c>
      <c r="C132" s="3" t="s">
        <v>546</v>
      </c>
      <c r="D132" s="3">
        <v>141</v>
      </c>
      <c r="E132" s="3" t="s">
        <v>547</v>
      </c>
    </row>
    <row r="133" spans="1:5" ht="13" hidden="1" x14ac:dyDescent="0.15">
      <c r="A133" s="3" t="s">
        <v>210</v>
      </c>
      <c r="B133" s="3" t="e">
        <f t="array" aca="1" ref="B133" ca="1">_xludf.XLOOKUP(A133,duobahlul_videos!$A$1:$A$52,duobahlul_videos!$B$1:$B$52)</f>
        <v>#NAME?</v>
      </c>
      <c r="C133" s="3" t="s">
        <v>548</v>
      </c>
      <c r="D133" s="3">
        <v>82</v>
      </c>
      <c r="E133" s="3" t="s">
        <v>549</v>
      </c>
    </row>
    <row r="134" spans="1:5" ht="13" hidden="1" x14ac:dyDescent="0.15">
      <c r="A134" s="3" t="s">
        <v>210</v>
      </c>
      <c r="B134" s="3" t="e">
        <f t="array" aca="1" ref="B134" ca="1">_xludf.XLOOKUP(A134,duobahlul_videos!$A$1:$A$52,duobahlul_videos!$B$1:$B$52)</f>
        <v>#NAME?</v>
      </c>
      <c r="C134" s="3" t="s">
        <v>550</v>
      </c>
      <c r="D134" s="3">
        <v>107</v>
      </c>
      <c r="E134" s="3" t="s">
        <v>551</v>
      </c>
    </row>
    <row r="135" spans="1:5" ht="13" hidden="1" x14ac:dyDescent="0.15">
      <c r="A135" s="3" t="s">
        <v>210</v>
      </c>
      <c r="B135" s="3" t="e">
        <f t="array" aca="1" ref="B135" ca="1">_xludf.XLOOKUP(A135,duobahlul_videos!$A$1:$A$52,duobahlul_videos!$B$1:$B$52)</f>
        <v>#NAME?</v>
      </c>
      <c r="C135" s="3" t="s">
        <v>552</v>
      </c>
      <c r="D135" s="3">
        <v>23</v>
      </c>
      <c r="E135" s="3" t="s">
        <v>553</v>
      </c>
    </row>
    <row r="136" spans="1:5" ht="13" hidden="1" x14ac:dyDescent="0.15">
      <c r="A136" s="3" t="s">
        <v>210</v>
      </c>
      <c r="B136" s="3" t="e">
        <f t="array" aca="1" ref="B136" ca="1">_xludf.XLOOKUP(A136,duobahlul_videos!$A$1:$A$52,duobahlul_videos!$B$1:$B$52)</f>
        <v>#NAME?</v>
      </c>
      <c r="C136" s="3" t="s">
        <v>554</v>
      </c>
      <c r="D136" s="3">
        <v>21</v>
      </c>
      <c r="E136" s="3" t="s">
        <v>555</v>
      </c>
    </row>
    <row r="137" spans="1:5" ht="13" hidden="1" x14ac:dyDescent="0.15">
      <c r="A137" s="3" t="s">
        <v>210</v>
      </c>
      <c r="B137" s="3" t="e">
        <f t="array" aca="1" ref="B137" ca="1">_xludf.XLOOKUP(A137,duobahlul_videos!$A$1:$A$52,duobahlul_videos!$B$1:$B$52)</f>
        <v>#NAME?</v>
      </c>
      <c r="C137" s="3" t="s">
        <v>556</v>
      </c>
      <c r="D137" s="3">
        <v>63</v>
      </c>
      <c r="E137" s="3" t="s">
        <v>557</v>
      </c>
    </row>
    <row r="138" spans="1:5" ht="13" hidden="1" x14ac:dyDescent="0.15">
      <c r="A138" s="3" t="s">
        <v>210</v>
      </c>
      <c r="B138" s="3" t="e">
        <f t="array" aca="1" ref="B138" ca="1">_xludf.XLOOKUP(A138,duobahlul_videos!$A$1:$A$52,duobahlul_videos!$B$1:$B$52)</f>
        <v>#NAME?</v>
      </c>
      <c r="C138" s="3" t="s">
        <v>558</v>
      </c>
      <c r="D138" s="3">
        <v>6</v>
      </c>
      <c r="E138" s="3" t="s">
        <v>559</v>
      </c>
    </row>
    <row r="139" spans="1:5" ht="13" hidden="1" x14ac:dyDescent="0.15">
      <c r="A139" s="3" t="s">
        <v>210</v>
      </c>
      <c r="B139" s="3" t="e">
        <f t="array" aca="1" ref="B139" ca="1">_xludf.XLOOKUP(A139,duobahlul_videos!$A$1:$A$52,duobahlul_videos!$B$1:$B$52)</f>
        <v>#NAME?</v>
      </c>
      <c r="C139" s="3" t="s">
        <v>560</v>
      </c>
      <c r="D139" s="3">
        <v>81</v>
      </c>
      <c r="E139" s="3" t="s">
        <v>561</v>
      </c>
    </row>
    <row r="140" spans="1:5" ht="13" hidden="1" x14ac:dyDescent="0.15">
      <c r="A140" s="3" t="s">
        <v>210</v>
      </c>
      <c r="B140" s="3" t="e">
        <f t="array" aca="1" ref="B140" ca="1">_xludf.XLOOKUP(A140,duobahlul_videos!$A$1:$A$52,duobahlul_videos!$B$1:$B$52)</f>
        <v>#NAME?</v>
      </c>
      <c r="C140" s="3" t="s">
        <v>562</v>
      </c>
      <c r="D140" s="3">
        <v>160</v>
      </c>
      <c r="E140" s="3" t="s">
        <v>563</v>
      </c>
    </row>
    <row r="141" spans="1:5" ht="13" hidden="1" x14ac:dyDescent="0.15">
      <c r="A141" s="3" t="s">
        <v>210</v>
      </c>
      <c r="B141" s="3" t="e">
        <f t="array" aca="1" ref="B141" ca="1">_xludf.XLOOKUP(A141,duobahlul_videos!$A$1:$A$52,duobahlul_videos!$B$1:$B$52)</f>
        <v>#NAME?</v>
      </c>
      <c r="C141" s="3" t="s">
        <v>564</v>
      </c>
      <c r="D141" s="3">
        <v>1</v>
      </c>
      <c r="E141" s="3" t="s">
        <v>565</v>
      </c>
    </row>
    <row r="142" spans="1:5" ht="13" hidden="1" x14ac:dyDescent="0.15">
      <c r="A142" s="3" t="s">
        <v>201</v>
      </c>
      <c r="B142" s="3" t="e">
        <f t="array" aca="1" ref="B142" ca="1">_xludf.XLOOKUP(A142,duobahlul_videos!$A$1:$A$52,duobahlul_videos!$B$1:$B$52)</f>
        <v>#NAME?</v>
      </c>
      <c r="C142" s="3" t="s">
        <v>566</v>
      </c>
      <c r="D142" s="3">
        <v>116</v>
      </c>
      <c r="E142" s="3" t="s">
        <v>567</v>
      </c>
    </row>
    <row r="143" spans="1:5" ht="13" hidden="1" x14ac:dyDescent="0.15">
      <c r="A143" s="3" t="s">
        <v>201</v>
      </c>
      <c r="B143" s="3" t="e">
        <f t="array" aca="1" ref="B143" ca="1">_xludf.XLOOKUP(A143,duobahlul_videos!$A$1:$A$52,duobahlul_videos!$B$1:$B$52)</f>
        <v>#NAME?</v>
      </c>
      <c r="C143" s="3" t="s">
        <v>568</v>
      </c>
      <c r="D143" s="3">
        <v>106</v>
      </c>
      <c r="E143" s="3" t="s">
        <v>569</v>
      </c>
    </row>
    <row r="144" spans="1:5" ht="13" hidden="1" x14ac:dyDescent="0.15">
      <c r="A144" s="3" t="s">
        <v>201</v>
      </c>
      <c r="B144" s="3" t="e">
        <f t="array" aca="1" ref="B144" ca="1">_xludf.XLOOKUP(A144,duobahlul_videos!$A$1:$A$52,duobahlul_videos!$B$1:$B$52)</f>
        <v>#NAME?</v>
      </c>
      <c r="C144" s="3" t="s">
        <v>570</v>
      </c>
      <c r="D144" s="3">
        <v>113</v>
      </c>
      <c r="E144" s="3" t="s">
        <v>571</v>
      </c>
    </row>
    <row r="145" spans="1:5" ht="13" hidden="1" x14ac:dyDescent="0.15">
      <c r="A145" s="3" t="s">
        <v>201</v>
      </c>
      <c r="B145" s="3" t="e">
        <f t="array" aca="1" ref="B145" ca="1">_xludf.XLOOKUP(A145,duobahlul_videos!$A$1:$A$52,duobahlul_videos!$B$1:$B$52)</f>
        <v>#NAME?</v>
      </c>
      <c r="C145" s="3" t="s">
        <v>572</v>
      </c>
      <c r="D145" s="3">
        <v>44</v>
      </c>
      <c r="E145" s="3" t="s">
        <v>573</v>
      </c>
    </row>
    <row r="146" spans="1:5" ht="13" hidden="1" x14ac:dyDescent="0.15">
      <c r="A146" s="3" t="s">
        <v>201</v>
      </c>
      <c r="B146" s="3" t="e">
        <f t="array" aca="1" ref="B146" ca="1">_xludf.XLOOKUP(A146,duobahlul_videos!$A$1:$A$52,duobahlul_videos!$B$1:$B$52)</f>
        <v>#NAME?</v>
      </c>
      <c r="C146" s="3" t="s">
        <v>574</v>
      </c>
      <c r="D146" s="3">
        <v>40</v>
      </c>
      <c r="E146" s="3" t="s">
        <v>575</v>
      </c>
    </row>
    <row r="147" spans="1:5" ht="13" hidden="1" x14ac:dyDescent="0.15">
      <c r="A147" s="3" t="s">
        <v>201</v>
      </c>
      <c r="B147" s="3" t="e">
        <f t="array" aca="1" ref="B147" ca="1">_xludf.XLOOKUP(A147,duobahlul_videos!$A$1:$A$52,duobahlul_videos!$B$1:$B$52)</f>
        <v>#NAME?</v>
      </c>
      <c r="C147" s="3" t="s">
        <v>576</v>
      </c>
      <c r="D147" s="3">
        <v>40</v>
      </c>
      <c r="E147" s="3" t="s">
        <v>577</v>
      </c>
    </row>
    <row r="148" spans="1:5" ht="13" hidden="1" x14ac:dyDescent="0.15">
      <c r="A148" s="3" t="s">
        <v>201</v>
      </c>
      <c r="B148" s="3" t="e">
        <f t="array" aca="1" ref="B148" ca="1">_xludf.XLOOKUP(A148,duobahlul_videos!$A$1:$A$52,duobahlul_videos!$B$1:$B$52)</f>
        <v>#NAME?</v>
      </c>
      <c r="C148" s="3" t="s">
        <v>578</v>
      </c>
      <c r="D148" s="3">
        <v>82</v>
      </c>
      <c r="E148" s="3" t="s">
        <v>579</v>
      </c>
    </row>
    <row r="149" spans="1:5" ht="13" hidden="1" x14ac:dyDescent="0.15">
      <c r="A149" s="3" t="s">
        <v>201</v>
      </c>
      <c r="B149" s="3" t="e">
        <f t="array" aca="1" ref="B149" ca="1">_xludf.XLOOKUP(A149,duobahlul_videos!$A$1:$A$52,duobahlul_videos!$B$1:$B$52)</f>
        <v>#NAME?</v>
      </c>
      <c r="C149" s="3" t="s">
        <v>580</v>
      </c>
      <c r="D149" s="3">
        <v>35</v>
      </c>
      <c r="E149" s="3" t="s">
        <v>581</v>
      </c>
    </row>
    <row r="150" spans="1:5" ht="13" hidden="1" x14ac:dyDescent="0.15">
      <c r="A150" s="3" t="s">
        <v>201</v>
      </c>
      <c r="B150" s="3" t="e">
        <f t="array" aca="1" ref="B150" ca="1">_xludf.XLOOKUP(A150,duobahlul_videos!$A$1:$A$52,duobahlul_videos!$B$1:$B$52)</f>
        <v>#NAME?</v>
      </c>
      <c r="C150" s="3" t="s">
        <v>582</v>
      </c>
      <c r="D150" s="3">
        <v>37</v>
      </c>
      <c r="E150" s="3" t="s">
        <v>583</v>
      </c>
    </row>
    <row r="151" spans="1:5" ht="13" hidden="1" x14ac:dyDescent="0.15">
      <c r="A151" s="3" t="s">
        <v>201</v>
      </c>
      <c r="B151" s="3" t="e">
        <f t="array" aca="1" ref="B151" ca="1">_xludf.XLOOKUP(A151,duobahlul_videos!$A$1:$A$52,duobahlul_videos!$B$1:$B$52)</f>
        <v>#NAME?</v>
      </c>
      <c r="C151" s="3" t="s">
        <v>584</v>
      </c>
      <c r="D151" s="3">
        <v>29</v>
      </c>
      <c r="E151" s="3" t="s">
        <v>585</v>
      </c>
    </row>
    <row r="152" spans="1:5" ht="13" hidden="1" x14ac:dyDescent="0.15">
      <c r="A152" s="3" t="s">
        <v>201</v>
      </c>
      <c r="B152" s="3" t="e">
        <f t="array" aca="1" ref="B152" ca="1">_xludf.XLOOKUP(A152,duobahlul_videos!$A$1:$A$52,duobahlul_videos!$B$1:$B$52)</f>
        <v>#NAME?</v>
      </c>
      <c r="C152" s="3" t="s">
        <v>586</v>
      </c>
      <c r="D152" s="3">
        <v>6</v>
      </c>
      <c r="E152" s="3" t="s">
        <v>587</v>
      </c>
    </row>
    <row r="153" spans="1:5" ht="13" hidden="1" x14ac:dyDescent="0.15">
      <c r="A153" s="3" t="s">
        <v>201</v>
      </c>
      <c r="B153" s="3" t="e">
        <f t="array" aca="1" ref="B153" ca="1">_xludf.XLOOKUP(A153,duobahlul_videos!$A$1:$A$52,duobahlul_videos!$B$1:$B$52)</f>
        <v>#NAME?</v>
      </c>
      <c r="C153" s="3" t="s">
        <v>588</v>
      </c>
      <c r="D153" s="3">
        <v>77</v>
      </c>
      <c r="E153" s="3" t="s">
        <v>589</v>
      </c>
    </row>
    <row r="154" spans="1:5" ht="13" hidden="1" x14ac:dyDescent="0.15">
      <c r="A154" s="3" t="s">
        <v>201</v>
      </c>
      <c r="B154" s="3" t="e">
        <f t="array" aca="1" ref="B154" ca="1">_xludf.XLOOKUP(A154,duobahlul_videos!$A$1:$A$52,duobahlul_videos!$B$1:$B$52)</f>
        <v>#NAME?</v>
      </c>
      <c r="C154" s="3" t="s">
        <v>590</v>
      </c>
      <c r="D154" s="3">
        <v>16</v>
      </c>
      <c r="E154" s="3" t="s">
        <v>591</v>
      </c>
    </row>
    <row r="155" spans="1:5" ht="13" hidden="1" x14ac:dyDescent="0.15">
      <c r="A155" s="3" t="s">
        <v>201</v>
      </c>
      <c r="B155" s="3" t="e">
        <f t="array" aca="1" ref="B155" ca="1">_xludf.XLOOKUP(A155,duobahlul_videos!$A$1:$A$52,duobahlul_videos!$B$1:$B$52)</f>
        <v>#NAME?</v>
      </c>
      <c r="C155" s="3" t="s">
        <v>592</v>
      </c>
      <c r="D155" s="3">
        <v>25</v>
      </c>
      <c r="E155" s="3" t="s">
        <v>593</v>
      </c>
    </row>
    <row r="156" spans="1:5" ht="13" hidden="1" x14ac:dyDescent="0.15">
      <c r="A156" s="3" t="s">
        <v>201</v>
      </c>
      <c r="B156" s="3" t="e">
        <f t="array" aca="1" ref="B156" ca="1">_xludf.XLOOKUP(A156,duobahlul_videos!$A$1:$A$52,duobahlul_videos!$B$1:$B$52)</f>
        <v>#NAME?</v>
      </c>
      <c r="C156" s="3" t="s">
        <v>594</v>
      </c>
      <c r="D156" s="3">
        <v>10</v>
      </c>
      <c r="E156" s="3" t="s">
        <v>595</v>
      </c>
    </row>
    <row r="157" spans="1:5" ht="13" hidden="1" x14ac:dyDescent="0.15">
      <c r="A157" s="3" t="s">
        <v>201</v>
      </c>
      <c r="B157" s="3" t="e">
        <f t="array" aca="1" ref="B157" ca="1">_xludf.XLOOKUP(A157,duobahlul_videos!$A$1:$A$52,duobahlul_videos!$B$1:$B$52)</f>
        <v>#NAME?</v>
      </c>
      <c r="C157" s="3" t="s">
        <v>596</v>
      </c>
      <c r="D157" s="3">
        <v>27</v>
      </c>
      <c r="E157" s="3" t="s">
        <v>597</v>
      </c>
    </row>
    <row r="158" spans="1:5" ht="13" hidden="1" x14ac:dyDescent="0.15">
      <c r="A158" s="3" t="s">
        <v>201</v>
      </c>
      <c r="B158" s="3" t="e">
        <f t="array" aca="1" ref="B158" ca="1">_xludf.XLOOKUP(A158,duobahlul_videos!$A$1:$A$52,duobahlul_videos!$B$1:$B$52)</f>
        <v>#NAME?</v>
      </c>
      <c r="C158" s="3" t="s">
        <v>598</v>
      </c>
      <c r="D158" s="3">
        <v>20</v>
      </c>
      <c r="E158" s="3" t="s">
        <v>599</v>
      </c>
    </row>
    <row r="159" spans="1:5" ht="13" hidden="1" x14ac:dyDescent="0.15">
      <c r="A159" s="3" t="s">
        <v>201</v>
      </c>
      <c r="B159" s="3" t="e">
        <f t="array" aca="1" ref="B159" ca="1">_xludf.XLOOKUP(A159,duobahlul_videos!$A$1:$A$52,duobahlul_videos!$B$1:$B$52)</f>
        <v>#NAME?</v>
      </c>
      <c r="C159" s="3" t="s">
        <v>600</v>
      </c>
      <c r="D159" s="3">
        <v>20</v>
      </c>
      <c r="E159" s="3" t="s">
        <v>601</v>
      </c>
    </row>
    <row r="160" spans="1:5" ht="13" hidden="1" x14ac:dyDescent="0.15">
      <c r="A160" s="3" t="s">
        <v>201</v>
      </c>
      <c r="B160" s="3" t="e">
        <f t="array" aca="1" ref="B160" ca="1">_xludf.XLOOKUP(A160,duobahlul_videos!$A$1:$A$52,duobahlul_videos!$B$1:$B$52)</f>
        <v>#NAME?</v>
      </c>
      <c r="C160" s="3" t="s">
        <v>602</v>
      </c>
      <c r="D160" s="3">
        <v>19</v>
      </c>
      <c r="E160" s="3" t="s">
        <v>603</v>
      </c>
    </row>
    <row r="161" spans="1:5" ht="13" hidden="1" x14ac:dyDescent="0.15">
      <c r="A161" s="3" t="s">
        <v>201</v>
      </c>
      <c r="B161" s="3" t="e">
        <f t="array" aca="1" ref="B161" ca="1">_xludf.XLOOKUP(A161,duobahlul_videos!$A$1:$A$52,duobahlul_videos!$B$1:$B$52)</f>
        <v>#NAME?</v>
      </c>
      <c r="C161" s="3" t="s">
        <v>604</v>
      </c>
      <c r="D161" s="3">
        <v>31</v>
      </c>
      <c r="E161" s="3" t="s">
        <v>605</v>
      </c>
    </row>
    <row r="162" spans="1:5" ht="13" hidden="1" x14ac:dyDescent="0.15">
      <c r="A162" s="3" t="s">
        <v>67</v>
      </c>
      <c r="B162" s="3" t="e">
        <f t="array" aca="1" ref="B162" ca="1">_xludf.XLOOKUP(A162,duobahlul_videos!$A$1:$A$52,duobahlul_videos!$B$1:$B$52)</f>
        <v>#NAME?</v>
      </c>
      <c r="C162" s="3" t="s">
        <v>606</v>
      </c>
      <c r="D162" s="3">
        <v>179</v>
      </c>
      <c r="E162" s="3" t="s">
        <v>607</v>
      </c>
    </row>
    <row r="163" spans="1:5" ht="13" hidden="1" x14ac:dyDescent="0.15">
      <c r="A163" s="3" t="s">
        <v>67</v>
      </c>
      <c r="B163" s="3" t="e">
        <f t="array" aca="1" ref="B163" ca="1">_xludf.XLOOKUP(A163,duobahlul_videos!$A$1:$A$52,duobahlul_videos!$B$1:$B$52)</f>
        <v>#NAME?</v>
      </c>
      <c r="C163" s="3" t="s">
        <v>608</v>
      </c>
      <c r="D163" s="3">
        <v>598</v>
      </c>
      <c r="E163" s="3" t="s">
        <v>609</v>
      </c>
    </row>
    <row r="164" spans="1:5" ht="13" hidden="1" x14ac:dyDescent="0.15">
      <c r="A164" s="3" t="s">
        <v>67</v>
      </c>
      <c r="B164" s="3" t="e">
        <f t="array" aca="1" ref="B164" ca="1">_xludf.XLOOKUP(A164,duobahlul_videos!$A$1:$A$52,duobahlul_videos!$B$1:$B$52)</f>
        <v>#NAME?</v>
      </c>
      <c r="C164" s="3" t="s">
        <v>610</v>
      </c>
      <c r="D164" s="3">
        <v>283</v>
      </c>
      <c r="E164" s="3" t="s">
        <v>611</v>
      </c>
    </row>
    <row r="165" spans="1:5" ht="13" hidden="1" x14ac:dyDescent="0.15">
      <c r="A165" s="3" t="s">
        <v>67</v>
      </c>
      <c r="B165" s="3" t="e">
        <f t="array" aca="1" ref="B165" ca="1">_xludf.XLOOKUP(A165,duobahlul_videos!$A$1:$A$52,duobahlul_videos!$B$1:$B$52)</f>
        <v>#NAME?</v>
      </c>
      <c r="C165" s="3" t="s">
        <v>612</v>
      </c>
      <c r="D165" s="3">
        <v>277</v>
      </c>
      <c r="E165" s="3" t="s">
        <v>613</v>
      </c>
    </row>
    <row r="166" spans="1:5" ht="13" hidden="1" x14ac:dyDescent="0.15">
      <c r="A166" s="3" t="s">
        <v>67</v>
      </c>
      <c r="B166" s="3" t="e">
        <f t="array" aca="1" ref="B166" ca="1">_xludf.XLOOKUP(A166,duobahlul_videos!$A$1:$A$52,duobahlul_videos!$B$1:$B$52)</f>
        <v>#NAME?</v>
      </c>
      <c r="C166" s="3" t="s">
        <v>614</v>
      </c>
      <c r="D166" s="3">
        <v>176</v>
      </c>
      <c r="E166" s="3" t="s">
        <v>615</v>
      </c>
    </row>
    <row r="167" spans="1:5" ht="13" hidden="1" x14ac:dyDescent="0.15">
      <c r="A167" s="3" t="s">
        <v>67</v>
      </c>
      <c r="B167" s="3" t="e">
        <f t="array" aca="1" ref="B167" ca="1">_xludf.XLOOKUP(A167,duobahlul_videos!$A$1:$A$52,duobahlul_videos!$B$1:$B$52)</f>
        <v>#NAME?</v>
      </c>
      <c r="C167" s="3" t="s">
        <v>616</v>
      </c>
      <c r="D167" s="3">
        <v>184</v>
      </c>
      <c r="E167" s="3" t="s">
        <v>617</v>
      </c>
    </row>
    <row r="168" spans="1:5" ht="13" hidden="1" x14ac:dyDescent="0.15">
      <c r="A168" s="3" t="s">
        <v>67</v>
      </c>
      <c r="B168" s="3" t="e">
        <f t="array" aca="1" ref="B168" ca="1">_xludf.XLOOKUP(A168,duobahlul_videos!$A$1:$A$52,duobahlul_videos!$B$1:$B$52)</f>
        <v>#NAME?</v>
      </c>
      <c r="C168" s="3" t="s">
        <v>618</v>
      </c>
      <c r="D168" s="3">
        <v>111</v>
      </c>
      <c r="E168" s="3" t="s">
        <v>619</v>
      </c>
    </row>
    <row r="169" spans="1:5" ht="13" hidden="1" x14ac:dyDescent="0.15">
      <c r="A169" s="3" t="s">
        <v>67</v>
      </c>
      <c r="B169" s="3" t="e">
        <f t="array" aca="1" ref="B169" ca="1">_xludf.XLOOKUP(A169,duobahlul_videos!$A$1:$A$52,duobahlul_videos!$B$1:$B$52)</f>
        <v>#NAME?</v>
      </c>
      <c r="C169" s="3" t="s">
        <v>620</v>
      </c>
      <c r="D169" s="3">
        <v>274</v>
      </c>
      <c r="E169" s="3" t="s">
        <v>621</v>
      </c>
    </row>
    <row r="170" spans="1:5" ht="13" hidden="1" x14ac:dyDescent="0.15">
      <c r="A170" s="3" t="s">
        <v>67</v>
      </c>
      <c r="B170" s="3" t="e">
        <f t="array" aca="1" ref="B170" ca="1">_xludf.XLOOKUP(A170,duobahlul_videos!$A$1:$A$52,duobahlul_videos!$B$1:$B$52)</f>
        <v>#NAME?</v>
      </c>
      <c r="C170" s="3" t="s">
        <v>622</v>
      </c>
      <c r="D170" s="3">
        <v>18</v>
      </c>
      <c r="E170" s="3" t="s">
        <v>623</v>
      </c>
    </row>
    <row r="171" spans="1:5" ht="13" hidden="1" x14ac:dyDescent="0.15">
      <c r="A171" s="3" t="s">
        <v>67</v>
      </c>
      <c r="B171" s="3" t="e">
        <f t="array" aca="1" ref="B171" ca="1">_xludf.XLOOKUP(A171,duobahlul_videos!$A$1:$A$52,duobahlul_videos!$B$1:$B$52)</f>
        <v>#NAME?</v>
      </c>
      <c r="C171" s="3" t="s">
        <v>624</v>
      </c>
      <c r="D171" s="3">
        <v>218</v>
      </c>
      <c r="E171" s="3" t="s">
        <v>625</v>
      </c>
    </row>
    <row r="172" spans="1:5" ht="13" hidden="1" x14ac:dyDescent="0.15">
      <c r="A172" s="3" t="s">
        <v>67</v>
      </c>
      <c r="B172" s="3" t="e">
        <f t="array" aca="1" ref="B172" ca="1">_xludf.XLOOKUP(A172,duobahlul_videos!$A$1:$A$52,duobahlul_videos!$B$1:$B$52)</f>
        <v>#NAME?</v>
      </c>
      <c r="C172" s="3" t="s">
        <v>626</v>
      </c>
      <c r="D172" s="3">
        <v>292</v>
      </c>
      <c r="E172" s="3" t="s">
        <v>627</v>
      </c>
    </row>
    <row r="173" spans="1:5" ht="13" hidden="1" x14ac:dyDescent="0.15">
      <c r="A173" s="3" t="s">
        <v>67</v>
      </c>
      <c r="B173" s="3" t="e">
        <f t="array" aca="1" ref="B173" ca="1">_xludf.XLOOKUP(A173,duobahlul_videos!$A$1:$A$52,duobahlul_videos!$B$1:$B$52)</f>
        <v>#NAME?</v>
      </c>
      <c r="C173" s="3" t="s">
        <v>628</v>
      </c>
      <c r="D173" s="3">
        <v>103</v>
      </c>
      <c r="E173" s="3" t="s">
        <v>629</v>
      </c>
    </row>
    <row r="174" spans="1:5" ht="13" hidden="1" x14ac:dyDescent="0.15">
      <c r="A174" s="3" t="s">
        <v>67</v>
      </c>
      <c r="B174" s="3" t="e">
        <f t="array" aca="1" ref="B174" ca="1">_xludf.XLOOKUP(A174,duobahlul_videos!$A$1:$A$52,duobahlul_videos!$B$1:$B$52)</f>
        <v>#NAME?</v>
      </c>
      <c r="C174" s="3" t="s">
        <v>630</v>
      </c>
      <c r="D174" s="3">
        <v>43</v>
      </c>
      <c r="E174" s="3" t="s">
        <v>631</v>
      </c>
    </row>
    <row r="175" spans="1:5" ht="13" hidden="1" x14ac:dyDescent="0.15">
      <c r="A175" s="3" t="s">
        <v>67</v>
      </c>
      <c r="B175" s="3" t="e">
        <f t="array" aca="1" ref="B175" ca="1">_xludf.XLOOKUP(A175,duobahlul_videos!$A$1:$A$52,duobahlul_videos!$B$1:$B$52)</f>
        <v>#NAME?</v>
      </c>
      <c r="C175" s="3" t="s">
        <v>632</v>
      </c>
      <c r="D175" s="3">
        <v>33</v>
      </c>
      <c r="E175" s="3" t="s">
        <v>633</v>
      </c>
    </row>
    <row r="176" spans="1:5" ht="13" hidden="1" x14ac:dyDescent="0.15">
      <c r="A176" s="3" t="s">
        <v>67</v>
      </c>
      <c r="B176" s="3" t="e">
        <f t="array" aca="1" ref="B176" ca="1">_xludf.XLOOKUP(A176,duobahlul_videos!$A$1:$A$52,duobahlul_videos!$B$1:$B$52)</f>
        <v>#NAME?</v>
      </c>
      <c r="C176" s="3" t="s">
        <v>634</v>
      </c>
      <c r="D176" s="3">
        <v>30</v>
      </c>
      <c r="E176" s="3" t="s">
        <v>635</v>
      </c>
    </row>
    <row r="177" spans="1:5" ht="13" hidden="1" x14ac:dyDescent="0.15">
      <c r="A177" s="3" t="s">
        <v>67</v>
      </c>
      <c r="B177" s="3" t="e">
        <f t="array" aca="1" ref="B177" ca="1">_xludf.XLOOKUP(A177,duobahlul_videos!$A$1:$A$52,duobahlul_videos!$B$1:$B$52)</f>
        <v>#NAME?</v>
      </c>
      <c r="C177" s="3" t="s">
        <v>636</v>
      </c>
      <c r="D177" s="3">
        <v>74</v>
      </c>
      <c r="E177" s="3" t="s">
        <v>637</v>
      </c>
    </row>
    <row r="178" spans="1:5" ht="13" hidden="1" x14ac:dyDescent="0.15">
      <c r="A178" s="3" t="s">
        <v>67</v>
      </c>
      <c r="B178" s="3" t="e">
        <f t="array" aca="1" ref="B178" ca="1">_xludf.XLOOKUP(A178,duobahlul_videos!$A$1:$A$52,duobahlul_videos!$B$1:$B$52)</f>
        <v>#NAME?</v>
      </c>
      <c r="C178" s="3" t="s">
        <v>638</v>
      </c>
      <c r="D178" s="3">
        <v>42</v>
      </c>
      <c r="E178" s="3" t="s">
        <v>639</v>
      </c>
    </row>
    <row r="179" spans="1:5" ht="13" hidden="1" x14ac:dyDescent="0.15">
      <c r="A179" s="3" t="s">
        <v>67</v>
      </c>
      <c r="B179" s="3" t="e">
        <f t="array" aca="1" ref="B179" ca="1">_xludf.XLOOKUP(A179,duobahlul_videos!$A$1:$A$52,duobahlul_videos!$B$1:$B$52)</f>
        <v>#NAME?</v>
      </c>
      <c r="C179" s="3" t="s">
        <v>640</v>
      </c>
      <c r="D179" s="3">
        <v>82</v>
      </c>
      <c r="E179" s="3" t="s">
        <v>641</v>
      </c>
    </row>
    <row r="180" spans="1:5" ht="13" hidden="1" x14ac:dyDescent="0.15">
      <c r="A180" s="3" t="s">
        <v>67</v>
      </c>
      <c r="B180" s="3" t="e">
        <f t="array" aca="1" ref="B180" ca="1">_xludf.XLOOKUP(A180,duobahlul_videos!$A$1:$A$52,duobahlul_videos!$B$1:$B$52)</f>
        <v>#NAME?</v>
      </c>
      <c r="C180" s="3" t="s">
        <v>642</v>
      </c>
      <c r="D180" s="3">
        <v>28</v>
      </c>
      <c r="E180" s="3" t="s">
        <v>643</v>
      </c>
    </row>
    <row r="181" spans="1:5" ht="13" hidden="1" x14ac:dyDescent="0.15">
      <c r="A181" s="3" t="s">
        <v>67</v>
      </c>
      <c r="B181" s="3" t="e">
        <f t="array" aca="1" ref="B181" ca="1">_xludf.XLOOKUP(A181,duobahlul_videos!$A$1:$A$52,duobahlul_videos!$B$1:$B$52)</f>
        <v>#NAME?</v>
      </c>
      <c r="C181" s="3" t="s">
        <v>644</v>
      </c>
      <c r="D181" s="3">
        <v>84</v>
      </c>
      <c r="E181" s="3" t="s">
        <v>645</v>
      </c>
    </row>
    <row r="182" spans="1:5" ht="13" hidden="1" x14ac:dyDescent="0.15">
      <c r="A182" s="3" t="s">
        <v>46</v>
      </c>
      <c r="B182" s="3" t="e">
        <f t="array" aca="1" ref="B182" ca="1">_xludf.XLOOKUP(A182,duobahlul_videos!$A$1:$A$52,duobahlul_videos!$B$1:$B$52)</f>
        <v>#NAME?</v>
      </c>
      <c r="C182" s="3" t="s">
        <v>606</v>
      </c>
      <c r="D182" s="3">
        <v>54</v>
      </c>
      <c r="E182" s="3" t="s">
        <v>646</v>
      </c>
    </row>
    <row r="183" spans="1:5" ht="13" hidden="1" x14ac:dyDescent="0.15">
      <c r="A183" s="3" t="s">
        <v>46</v>
      </c>
      <c r="B183" s="3" t="e">
        <f t="array" aca="1" ref="B183" ca="1">_xludf.XLOOKUP(A183,duobahlul_videos!$A$1:$A$52,duobahlul_videos!$B$1:$B$52)</f>
        <v>#NAME?</v>
      </c>
      <c r="C183" s="3" t="s">
        <v>647</v>
      </c>
      <c r="D183" s="3">
        <v>1207</v>
      </c>
      <c r="E183" s="3" t="s">
        <v>648</v>
      </c>
    </row>
    <row r="184" spans="1:5" ht="13" hidden="1" x14ac:dyDescent="0.15">
      <c r="A184" s="3" t="s">
        <v>46</v>
      </c>
      <c r="B184" s="3" t="e">
        <f t="array" aca="1" ref="B184" ca="1">_xludf.XLOOKUP(A184,duobahlul_videos!$A$1:$A$52,duobahlul_videos!$B$1:$B$52)</f>
        <v>#NAME?</v>
      </c>
      <c r="C184" s="3" t="s">
        <v>649</v>
      </c>
      <c r="D184" s="3">
        <v>990</v>
      </c>
      <c r="E184" s="3" t="s">
        <v>650</v>
      </c>
    </row>
    <row r="185" spans="1:5" ht="13" hidden="1" x14ac:dyDescent="0.15">
      <c r="A185" s="3" t="s">
        <v>46</v>
      </c>
      <c r="B185" s="3" t="e">
        <f t="array" aca="1" ref="B185" ca="1">_xludf.XLOOKUP(A185,duobahlul_videos!$A$1:$A$52,duobahlul_videos!$B$1:$B$52)</f>
        <v>#NAME?</v>
      </c>
      <c r="C185" s="3" t="s">
        <v>651</v>
      </c>
      <c r="D185" s="3">
        <v>512</v>
      </c>
      <c r="E185" s="3" t="s">
        <v>652</v>
      </c>
    </row>
    <row r="186" spans="1:5" ht="13" hidden="1" x14ac:dyDescent="0.15">
      <c r="A186" s="3" t="s">
        <v>46</v>
      </c>
      <c r="B186" s="3" t="e">
        <f t="array" aca="1" ref="B186" ca="1">_xludf.XLOOKUP(A186,duobahlul_videos!$A$1:$A$52,duobahlul_videos!$B$1:$B$52)</f>
        <v>#NAME?</v>
      </c>
      <c r="C186" s="3" t="s">
        <v>653</v>
      </c>
      <c r="D186" s="3">
        <v>283</v>
      </c>
      <c r="E186" s="3" t="s">
        <v>654</v>
      </c>
    </row>
    <row r="187" spans="1:5" ht="13" hidden="1" x14ac:dyDescent="0.15">
      <c r="A187" s="3" t="s">
        <v>46</v>
      </c>
      <c r="B187" s="3" t="e">
        <f t="array" aca="1" ref="B187" ca="1">_xludf.XLOOKUP(A187,duobahlul_videos!$A$1:$A$52,duobahlul_videos!$B$1:$B$52)</f>
        <v>#NAME?</v>
      </c>
      <c r="C187" s="3" t="s">
        <v>655</v>
      </c>
      <c r="D187" s="3">
        <v>229</v>
      </c>
      <c r="E187" s="3" t="s">
        <v>656</v>
      </c>
    </row>
    <row r="188" spans="1:5" ht="13" hidden="1" x14ac:dyDescent="0.15">
      <c r="A188" s="3" t="s">
        <v>46</v>
      </c>
      <c r="B188" s="3" t="e">
        <f t="array" aca="1" ref="B188" ca="1">_xludf.XLOOKUP(A188,duobahlul_videos!$A$1:$A$52,duobahlul_videos!$B$1:$B$52)</f>
        <v>#NAME?</v>
      </c>
      <c r="C188" s="3" t="s">
        <v>657</v>
      </c>
      <c r="D188" s="3">
        <v>738</v>
      </c>
      <c r="E188" s="3" t="s">
        <v>658</v>
      </c>
    </row>
    <row r="189" spans="1:5" ht="13" hidden="1" x14ac:dyDescent="0.15">
      <c r="A189" s="3" t="s">
        <v>46</v>
      </c>
      <c r="B189" s="3" t="e">
        <f t="array" aca="1" ref="B189" ca="1">_xludf.XLOOKUP(A189,duobahlul_videos!$A$1:$A$52,duobahlul_videos!$B$1:$B$52)</f>
        <v>#NAME?</v>
      </c>
      <c r="C189" s="8" t="s">
        <v>659</v>
      </c>
      <c r="D189" s="3">
        <v>174</v>
      </c>
      <c r="E189" s="3" t="s">
        <v>660</v>
      </c>
    </row>
    <row r="190" spans="1:5" ht="13" hidden="1" x14ac:dyDescent="0.15">
      <c r="A190" s="3" t="s">
        <v>46</v>
      </c>
      <c r="B190" s="3" t="e">
        <f t="array" aca="1" ref="B190" ca="1">_xludf.XLOOKUP(A190,duobahlul_videos!$A$1:$A$52,duobahlul_videos!$B$1:$B$52)</f>
        <v>#NAME?</v>
      </c>
      <c r="C190" s="3" t="s">
        <v>661</v>
      </c>
      <c r="D190" s="3">
        <v>107</v>
      </c>
      <c r="E190" s="3" t="s">
        <v>662</v>
      </c>
    </row>
    <row r="191" spans="1:5" ht="13" hidden="1" x14ac:dyDescent="0.15">
      <c r="A191" s="3" t="s">
        <v>46</v>
      </c>
      <c r="B191" s="3" t="e">
        <f t="array" aca="1" ref="B191" ca="1">_xludf.XLOOKUP(A191,duobahlul_videos!$A$1:$A$52,duobahlul_videos!$B$1:$B$52)</f>
        <v>#NAME?</v>
      </c>
      <c r="C191" s="3" t="s">
        <v>663</v>
      </c>
      <c r="D191" s="3">
        <v>22</v>
      </c>
      <c r="E191" s="3" t="s">
        <v>664</v>
      </c>
    </row>
    <row r="192" spans="1:5" ht="13" hidden="1" x14ac:dyDescent="0.15">
      <c r="A192" s="3" t="s">
        <v>46</v>
      </c>
      <c r="B192" s="3" t="e">
        <f t="array" aca="1" ref="B192" ca="1">_xludf.XLOOKUP(A192,duobahlul_videos!$A$1:$A$52,duobahlul_videos!$B$1:$B$52)</f>
        <v>#NAME?</v>
      </c>
      <c r="C192" s="3" t="s">
        <v>665</v>
      </c>
      <c r="D192" s="3">
        <v>26</v>
      </c>
      <c r="E192" s="3" t="s">
        <v>666</v>
      </c>
    </row>
    <row r="193" spans="1:5" ht="13" hidden="1" x14ac:dyDescent="0.15">
      <c r="A193" s="3" t="s">
        <v>46</v>
      </c>
      <c r="B193" s="3" t="e">
        <f t="array" aca="1" ref="B193" ca="1">_xludf.XLOOKUP(A193,duobahlul_videos!$A$1:$A$52,duobahlul_videos!$B$1:$B$52)</f>
        <v>#NAME?</v>
      </c>
      <c r="C193" s="3" t="s">
        <v>667</v>
      </c>
      <c r="D193" s="3">
        <v>162</v>
      </c>
      <c r="E193" s="3" t="s">
        <v>668</v>
      </c>
    </row>
    <row r="194" spans="1:5" ht="13" hidden="1" x14ac:dyDescent="0.15">
      <c r="A194" s="3" t="s">
        <v>46</v>
      </c>
      <c r="B194" s="3" t="e">
        <f t="array" aca="1" ref="B194" ca="1">_xludf.XLOOKUP(A194,duobahlul_videos!$A$1:$A$52,duobahlul_videos!$B$1:$B$52)</f>
        <v>#NAME?</v>
      </c>
      <c r="C194" s="3" t="s">
        <v>669</v>
      </c>
      <c r="D194" s="3">
        <v>64</v>
      </c>
      <c r="E194" s="3" t="s">
        <v>670</v>
      </c>
    </row>
    <row r="195" spans="1:5" ht="13" hidden="1" x14ac:dyDescent="0.15">
      <c r="A195" s="3" t="s">
        <v>46</v>
      </c>
      <c r="B195" s="3" t="e">
        <f t="array" aca="1" ref="B195" ca="1">_xludf.XLOOKUP(A195,duobahlul_videos!$A$1:$A$52,duobahlul_videos!$B$1:$B$52)</f>
        <v>#NAME?</v>
      </c>
      <c r="C195" s="3" t="s">
        <v>671</v>
      </c>
      <c r="D195" s="3">
        <v>87</v>
      </c>
      <c r="E195" s="3" t="s">
        <v>672</v>
      </c>
    </row>
    <row r="196" spans="1:5" ht="13" hidden="1" x14ac:dyDescent="0.15">
      <c r="A196" s="3" t="s">
        <v>46</v>
      </c>
      <c r="B196" s="3" t="e">
        <f t="array" aca="1" ref="B196" ca="1">_xludf.XLOOKUP(A196,duobahlul_videos!$A$1:$A$52,duobahlul_videos!$B$1:$B$52)</f>
        <v>#NAME?</v>
      </c>
      <c r="C196" s="3" t="s">
        <v>673</v>
      </c>
      <c r="D196" s="3">
        <v>31</v>
      </c>
      <c r="E196" s="3" t="s">
        <v>674</v>
      </c>
    </row>
    <row r="197" spans="1:5" ht="13" hidden="1" x14ac:dyDescent="0.15">
      <c r="A197" s="3" t="s">
        <v>46</v>
      </c>
      <c r="B197" s="3" t="e">
        <f t="array" aca="1" ref="B197" ca="1">_xludf.XLOOKUP(A197,duobahlul_videos!$A$1:$A$52,duobahlul_videos!$B$1:$B$52)</f>
        <v>#NAME?</v>
      </c>
      <c r="C197" s="3" t="s">
        <v>675</v>
      </c>
      <c r="D197" s="3">
        <v>64</v>
      </c>
      <c r="E197" s="3" t="s">
        <v>676</v>
      </c>
    </row>
    <row r="198" spans="1:5" ht="13" hidden="1" x14ac:dyDescent="0.15">
      <c r="A198" s="3" t="s">
        <v>46</v>
      </c>
      <c r="B198" s="3" t="e">
        <f t="array" aca="1" ref="B198" ca="1">_xludf.XLOOKUP(A198,duobahlul_videos!$A$1:$A$52,duobahlul_videos!$B$1:$B$52)</f>
        <v>#NAME?</v>
      </c>
      <c r="C198" s="3" t="s">
        <v>677</v>
      </c>
      <c r="D198" s="3">
        <v>107</v>
      </c>
      <c r="E198" s="3" t="s">
        <v>678</v>
      </c>
    </row>
    <row r="199" spans="1:5" ht="13" hidden="1" x14ac:dyDescent="0.15">
      <c r="A199" s="3" t="s">
        <v>46</v>
      </c>
      <c r="B199" s="3" t="e">
        <f t="array" aca="1" ref="B199" ca="1">_xludf.XLOOKUP(A199,duobahlul_videos!$A$1:$A$52,duobahlul_videos!$B$1:$B$52)</f>
        <v>#NAME?</v>
      </c>
      <c r="C199" s="3" t="s">
        <v>679</v>
      </c>
      <c r="D199" s="3">
        <v>327</v>
      </c>
      <c r="E199" s="3" t="s">
        <v>680</v>
      </c>
    </row>
    <row r="200" spans="1:5" ht="13" hidden="1" x14ac:dyDescent="0.15">
      <c r="A200" s="3" t="s">
        <v>46</v>
      </c>
      <c r="B200" s="3" t="e">
        <f t="array" aca="1" ref="B200" ca="1">_xludf.XLOOKUP(A200,duobahlul_videos!$A$1:$A$52,duobahlul_videos!$B$1:$B$52)</f>
        <v>#NAME?</v>
      </c>
      <c r="C200" s="3" t="s">
        <v>681</v>
      </c>
      <c r="D200" s="3">
        <v>141</v>
      </c>
      <c r="E200" s="3" t="s">
        <v>682</v>
      </c>
    </row>
    <row r="201" spans="1:5" ht="13" hidden="1" x14ac:dyDescent="0.15">
      <c r="A201" s="3" t="s">
        <v>46</v>
      </c>
      <c r="B201" s="3" t="e">
        <f t="array" aca="1" ref="B201" ca="1">_xludf.XLOOKUP(A201,duobahlul_videos!$A$1:$A$52,duobahlul_videos!$B$1:$B$52)</f>
        <v>#NAME?</v>
      </c>
      <c r="C201" s="3" t="s">
        <v>683</v>
      </c>
      <c r="D201" s="3">
        <v>36</v>
      </c>
      <c r="E201" s="3" t="s">
        <v>684</v>
      </c>
    </row>
    <row r="202" spans="1:5" ht="13" hidden="1" x14ac:dyDescent="0.15">
      <c r="A202" s="3" t="s">
        <v>20</v>
      </c>
      <c r="B202" s="3" t="e">
        <f t="array" aca="1" ref="B202" ca="1">_xludf.XLOOKUP(A202,duobahlul_videos!$A$1:$A$52,duobahlul_videos!$B$1:$B$52)</f>
        <v>#NAME?</v>
      </c>
      <c r="C202" s="3" t="s">
        <v>606</v>
      </c>
      <c r="D202" s="3">
        <v>175</v>
      </c>
      <c r="E202" s="3" t="s">
        <v>685</v>
      </c>
    </row>
    <row r="203" spans="1:5" ht="13" hidden="1" x14ac:dyDescent="0.15">
      <c r="A203" s="3" t="s">
        <v>20</v>
      </c>
      <c r="B203" s="3" t="e">
        <f t="array" aca="1" ref="B203" ca="1">_xludf.XLOOKUP(A203,duobahlul_videos!$A$1:$A$52,duobahlul_videos!$B$1:$B$52)</f>
        <v>#NAME?</v>
      </c>
      <c r="C203" s="3" t="s">
        <v>686</v>
      </c>
      <c r="D203" s="3">
        <v>3751</v>
      </c>
      <c r="E203" s="3" t="s">
        <v>687</v>
      </c>
    </row>
    <row r="204" spans="1:5" ht="13" hidden="1" x14ac:dyDescent="0.15">
      <c r="A204" s="3" t="s">
        <v>20</v>
      </c>
      <c r="B204" s="3" t="e">
        <f t="array" aca="1" ref="B204" ca="1">_xludf.XLOOKUP(A204,duobahlul_videos!$A$1:$A$52,duobahlul_videos!$B$1:$B$52)</f>
        <v>#NAME?</v>
      </c>
      <c r="C204" s="3" t="s">
        <v>688</v>
      </c>
      <c r="D204" s="3">
        <v>1441</v>
      </c>
      <c r="E204" s="3" t="s">
        <v>689</v>
      </c>
    </row>
    <row r="205" spans="1:5" ht="13" hidden="1" x14ac:dyDescent="0.15">
      <c r="A205" s="3" t="s">
        <v>20</v>
      </c>
      <c r="B205" s="3" t="e">
        <f t="array" aca="1" ref="B205" ca="1">_xludf.XLOOKUP(A205,duobahlul_videos!$A$1:$A$52,duobahlul_videos!$B$1:$B$52)</f>
        <v>#NAME?</v>
      </c>
      <c r="C205" s="3" t="s">
        <v>690</v>
      </c>
      <c r="D205" s="3">
        <v>490</v>
      </c>
      <c r="E205" s="3" t="s">
        <v>691</v>
      </c>
    </row>
    <row r="206" spans="1:5" ht="13" hidden="1" x14ac:dyDescent="0.15">
      <c r="A206" s="3" t="s">
        <v>20</v>
      </c>
      <c r="B206" s="3" t="e">
        <f t="array" aca="1" ref="B206" ca="1">_xludf.XLOOKUP(A206,duobahlul_videos!$A$1:$A$52,duobahlul_videos!$B$1:$B$52)</f>
        <v>#NAME?</v>
      </c>
      <c r="C206" s="3" t="s">
        <v>692</v>
      </c>
      <c r="D206" s="3">
        <v>399</v>
      </c>
      <c r="E206" s="3" t="s">
        <v>693</v>
      </c>
    </row>
    <row r="207" spans="1:5" ht="13" hidden="1" x14ac:dyDescent="0.15">
      <c r="A207" s="3" t="s">
        <v>20</v>
      </c>
      <c r="B207" s="3" t="e">
        <f t="array" aca="1" ref="B207" ca="1">_xludf.XLOOKUP(A207,duobahlul_videos!$A$1:$A$52,duobahlul_videos!$B$1:$B$52)</f>
        <v>#NAME?</v>
      </c>
      <c r="C207" s="3" t="s">
        <v>694</v>
      </c>
      <c r="D207" s="3">
        <v>2479</v>
      </c>
      <c r="E207" s="3" t="s">
        <v>695</v>
      </c>
    </row>
    <row r="208" spans="1:5" ht="13" hidden="1" x14ac:dyDescent="0.15">
      <c r="A208" s="3" t="s">
        <v>20</v>
      </c>
      <c r="B208" s="3" t="e">
        <f t="array" aca="1" ref="B208" ca="1">_xludf.XLOOKUP(A208,duobahlul_videos!$A$1:$A$52,duobahlul_videos!$B$1:$B$52)</f>
        <v>#NAME?</v>
      </c>
      <c r="C208" s="3" t="s">
        <v>696</v>
      </c>
      <c r="D208" s="3">
        <v>1400</v>
      </c>
      <c r="E208" s="3" t="s">
        <v>697</v>
      </c>
    </row>
    <row r="209" spans="1:5" ht="13" hidden="1" x14ac:dyDescent="0.15">
      <c r="A209" s="3" t="s">
        <v>20</v>
      </c>
      <c r="B209" s="3" t="e">
        <f t="array" aca="1" ref="B209" ca="1">_xludf.XLOOKUP(A209,duobahlul_videos!$A$1:$A$52,duobahlul_videos!$B$1:$B$52)</f>
        <v>#NAME?</v>
      </c>
      <c r="C209" s="3" t="s">
        <v>698</v>
      </c>
      <c r="D209" s="3">
        <v>695</v>
      </c>
      <c r="E209" s="3" t="s">
        <v>699</v>
      </c>
    </row>
    <row r="210" spans="1:5" ht="13" hidden="1" x14ac:dyDescent="0.15">
      <c r="A210" s="3" t="s">
        <v>20</v>
      </c>
      <c r="B210" s="3" t="e">
        <f t="array" aca="1" ref="B210" ca="1">_xludf.XLOOKUP(A210,duobahlul_videos!$A$1:$A$52,duobahlul_videos!$B$1:$B$52)</f>
        <v>#NAME?</v>
      </c>
      <c r="C210" s="3" t="s">
        <v>700</v>
      </c>
      <c r="D210" s="3">
        <v>236</v>
      </c>
      <c r="E210" s="3" t="s">
        <v>701</v>
      </c>
    </row>
    <row r="211" spans="1:5" ht="13" hidden="1" x14ac:dyDescent="0.15">
      <c r="A211" s="3" t="s">
        <v>20</v>
      </c>
      <c r="B211" s="3" t="e">
        <f t="array" aca="1" ref="B211" ca="1">_xludf.XLOOKUP(A211,duobahlul_videos!$A$1:$A$52,duobahlul_videos!$B$1:$B$52)</f>
        <v>#NAME?</v>
      </c>
      <c r="C211" s="3" t="s">
        <v>702</v>
      </c>
      <c r="D211" s="3">
        <v>741</v>
      </c>
      <c r="E211" s="3" t="s">
        <v>703</v>
      </c>
    </row>
    <row r="212" spans="1:5" ht="13" hidden="1" x14ac:dyDescent="0.15">
      <c r="A212" s="3" t="s">
        <v>20</v>
      </c>
      <c r="B212" s="3" t="e">
        <f t="array" aca="1" ref="B212" ca="1">_xludf.XLOOKUP(A212,duobahlul_videos!$A$1:$A$52,duobahlul_videos!$B$1:$B$52)</f>
        <v>#NAME?</v>
      </c>
      <c r="C212" s="3" t="s">
        <v>704</v>
      </c>
      <c r="D212" s="3">
        <v>622</v>
      </c>
      <c r="E212" s="3" t="s">
        <v>705</v>
      </c>
    </row>
    <row r="213" spans="1:5" ht="13" hidden="1" x14ac:dyDescent="0.15">
      <c r="A213" s="3" t="s">
        <v>20</v>
      </c>
      <c r="B213" s="3" t="e">
        <f t="array" aca="1" ref="B213" ca="1">_xludf.XLOOKUP(A213,duobahlul_videos!$A$1:$A$52,duobahlul_videos!$B$1:$B$52)</f>
        <v>#NAME?</v>
      </c>
      <c r="C213" s="3" t="s">
        <v>706</v>
      </c>
      <c r="D213" s="3">
        <v>530</v>
      </c>
      <c r="E213" s="3" t="s">
        <v>707</v>
      </c>
    </row>
    <row r="214" spans="1:5" ht="13" hidden="1" x14ac:dyDescent="0.15">
      <c r="A214" s="3" t="s">
        <v>20</v>
      </c>
      <c r="B214" s="3" t="e">
        <f t="array" aca="1" ref="B214" ca="1">_xludf.XLOOKUP(A214,duobahlul_videos!$A$1:$A$52,duobahlul_videos!$B$1:$B$52)</f>
        <v>#NAME?</v>
      </c>
      <c r="C214" s="3" t="s">
        <v>708</v>
      </c>
      <c r="D214" s="3">
        <v>40</v>
      </c>
      <c r="E214" s="3" t="s">
        <v>709</v>
      </c>
    </row>
    <row r="215" spans="1:5" ht="13" hidden="1" x14ac:dyDescent="0.15">
      <c r="A215" s="3" t="s">
        <v>20</v>
      </c>
      <c r="B215" s="3" t="e">
        <f t="array" aca="1" ref="B215" ca="1">_xludf.XLOOKUP(A215,duobahlul_videos!$A$1:$A$52,duobahlul_videos!$B$1:$B$52)</f>
        <v>#NAME?</v>
      </c>
      <c r="C215" s="3" t="s">
        <v>710</v>
      </c>
      <c r="D215" s="3">
        <v>364</v>
      </c>
      <c r="E215" s="3" t="s">
        <v>711</v>
      </c>
    </row>
    <row r="216" spans="1:5" ht="13" hidden="1" x14ac:dyDescent="0.15">
      <c r="A216" s="3" t="s">
        <v>20</v>
      </c>
      <c r="B216" s="3" t="e">
        <f t="array" aca="1" ref="B216" ca="1">_xludf.XLOOKUP(A216,duobahlul_videos!$A$1:$A$52,duobahlul_videos!$B$1:$B$52)</f>
        <v>#NAME?</v>
      </c>
      <c r="C216" s="3" t="s">
        <v>712</v>
      </c>
      <c r="D216" s="3">
        <v>1114</v>
      </c>
      <c r="E216" s="3" t="s">
        <v>713</v>
      </c>
    </row>
    <row r="217" spans="1:5" ht="13" hidden="1" x14ac:dyDescent="0.15">
      <c r="A217" s="3" t="s">
        <v>20</v>
      </c>
      <c r="B217" s="3" t="e">
        <f t="array" aca="1" ref="B217" ca="1">_xludf.XLOOKUP(A217,duobahlul_videos!$A$1:$A$52,duobahlul_videos!$B$1:$B$52)</f>
        <v>#NAME?</v>
      </c>
      <c r="C217" s="3" t="s">
        <v>714</v>
      </c>
      <c r="D217" s="3">
        <v>740</v>
      </c>
      <c r="E217" s="3" t="s">
        <v>715</v>
      </c>
    </row>
    <row r="218" spans="1:5" ht="13" hidden="1" x14ac:dyDescent="0.15">
      <c r="A218" s="3" t="s">
        <v>20</v>
      </c>
      <c r="B218" s="3" t="e">
        <f t="array" aca="1" ref="B218" ca="1">_xludf.XLOOKUP(A218,duobahlul_videos!$A$1:$A$52,duobahlul_videos!$B$1:$B$52)</f>
        <v>#NAME?</v>
      </c>
      <c r="C218" s="3" t="s">
        <v>716</v>
      </c>
      <c r="D218" s="3">
        <v>26</v>
      </c>
      <c r="E218" s="3" t="s">
        <v>717</v>
      </c>
    </row>
    <row r="219" spans="1:5" ht="13" hidden="1" x14ac:dyDescent="0.15">
      <c r="A219" s="3" t="s">
        <v>20</v>
      </c>
      <c r="B219" s="3" t="e">
        <f t="array" aca="1" ref="B219" ca="1">_xludf.XLOOKUP(A219,duobahlul_videos!$A$1:$A$52,duobahlul_videos!$B$1:$B$52)</f>
        <v>#NAME?</v>
      </c>
      <c r="C219" s="3" t="s">
        <v>718</v>
      </c>
      <c r="D219" s="3">
        <v>293</v>
      </c>
      <c r="E219" s="3" t="s">
        <v>719</v>
      </c>
    </row>
    <row r="220" spans="1:5" ht="13" hidden="1" x14ac:dyDescent="0.15">
      <c r="A220" s="3" t="s">
        <v>20</v>
      </c>
      <c r="B220" s="3" t="e">
        <f t="array" aca="1" ref="B220" ca="1">_xludf.XLOOKUP(A220,duobahlul_videos!$A$1:$A$52,duobahlul_videos!$B$1:$B$52)</f>
        <v>#NAME?</v>
      </c>
      <c r="C220" s="3" t="s">
        <v>720</v>
      </c>
      <c r="D220" s="3">
        <v>65</v>
      </c>
      <c r="E220" s="3" t="s">
        <v>721</v>
      </c>
    </row>
    <row r="221" spans="1:5" ht="13" hidden="1" x14ac:dyDescent="0.15">
      <c r="A221" s="3" t="s">
        <v>20</v>
      </c>
      <c r="B221" s="3" t="e">
        <f t="array" aca="1" ref="B221" ca="1">_xludf.XLOOKUP(A221,duobahlul_videos!$A$1:$A$52,duobahlul_videos!$B$1:$B$52)</f>
        <v>#NAME?</v>
      </c>
      <c r="C221" s="3" t="s">
        <v>722</v>
      </c>
      <c r="D221" s="3">
        <v>206</v>
      </c>
      <c r="E221" s="3" t="s">
        <v>723</v>
      </c>
    </row>
    <row r="222" spans="1:5" ht="13" hidden="1" x14ac:dyDescent="0.15">
      <c r="A222" s="3" t="s">
        <v>39</v>
      </c>
      <c r="B222" s="3" t="e">
        <f t="array" aca="1" ref="B222" ca="1">_xludf.XLOOKUP(A222,duobahlul_videos!$A$1:$A$52,duobahlul_videos!$B$1:$B$52)</f>
        <v>#NAME?</v>
      </c>
      <c r="C222" s="3" t="s">
        <v>724</v>
      </c>
      <c r="D222" s="3">
        <v>1193</v>
      </c>
      <c r="E222" s="3" t="s">
        <v>725</v>
      </c>
    </row>
    <row r="223" spans="1:5" ht="13" hidden="1" x14ac:dyDescent="0.15">
      <c r="A223" s="3" t="s">
        <v>39</v>
      </c>
      <c r="B223" s="3" t="e">
        <f t="array" aca="1" ref="B223" ca="1">_xludf.XLOOKUP(A223,duobahlul_videos!$A$1:$A$52,duobahlul_videos!$B$1:$B$52)</f>
        <v>#NAME?</v>
      </c>
      <c r="C223" s="3" t="s">
        <v>726</v>
      </c>
      <c r="D223" s="3">
        <v>393</v>
      </c>
      <c r="E223" s="3" t="s">
        <v>727</v>
      </c>
    </row>
    <row r="224" spans="1:5" ht="13" hidden="1" x14ac:dyDescent="0.15">
      <c r="A224" s="3" t="s">
        <v>39</v>
      </c>
      <c r="B224" s="3" t="e">
        <f t="array" aca="1" ref="B224" ca="1">_xludf.XLOOKUP(A224,duobahlul_videos!$A$1:$A$52,duobahlul_videos!$B$1:$B$52)</f>
        <v>#NAME?</v>
      </c>
      <c r="C224" s="3" t="s">
        <v>728</v>
      </c>
      <c r="D224" s="3">
        <v>839</v>
      </c>
      <c r="E224" s="3" t="s">
        <v>729</v>
      </c>
    </row>
    <row r="225" spans="1:5" ht="13" hidden="1" x14ac:dyDescent="0.15">
      <c r="A225" s="3" t="s">
        <v>39</v>
      </c>
      <c r="B225" s="3" t="e">
        <f t="array" aca="1" ref="B225" ca="1">_xludf.XLOOKUP(A225,duobahlul_videos!$A$1:$A$52,duobahlul_videos!$B$1:$B$52)</f>
        <v>#NAME?</v>
      </c>
      <c r="C225" s="3" t="s">
        <v>730</v>
      </c>
      <c r="D225" s="3">
        <v>364</v>
      </c>
      <c r="E225" s="3" t="s">
        <v>731</v>
      </c>
    </row>
    <row r="226" spans="1:5" ht="13" hidden="1" x14ac:dyDescent="0.15">
      <c r="A226" s="3" t="s">
        <v>39</v>
      </c>
      <c r="B226" s="3" t="e">
        <f t="array" aca="1" ref="B226" ca="1">_xludf.XLOOKUP(A226,duobahlul_videos!$A$1:$A$52,duobahlul_videos!$B$1:$B$52)</f>
        <v>#NAME?</v>
      </c>
      <c r="C226" s="3" t="s">
        <v>732</v>
      </c>
      <c r="D226" s="3">
        <v>277</v>
      </c>
      <c r="E226" s="3" t="s">
        <v>733</v>
      </c>
    </row>
    <row r="227" spans="1:5" ht="13" hidden="1" x14ac:dyDescent="0.15">
      <c r="A227" s="3" t="s">
        <v>39</v>
      </c>
      <c r="B227" s="3" t="e">
        <f t="array" aca="1" ref="B227" ca="1">_xludf.XLOOKUP(A227,duobahlul_videos!$A$1:$A$52,duobahlul_videos!$B$1:$B$52)</f>
        <v>#NAME?</v>
      </c>
      <c r="C227" s="3" t="s">
        <v>734</v>
      </c>
      <c r="D227" s="3">
        <v>370</v>
      </c>
      <c r="E227" s="3" t="s">
        <v>735</v>
      </c>
    </row>
    <row r="228" spans="1:5" ht="13" hidden="1" x14ac:dyDescent="0.15">
      <c r="A228" s="3" t="s">
        <v>39</v>
      </c>
      <c r="B228" s="3" t="e">
        <f t="array" aca="1" ref="B228" ca="1">_xludf.XLOOKUP(A228,duobahlul_videos!$A$1:$A$52,duobahlul_videos!$B$1:$B$52)</f>
        <v>#NAME?</v>
      </c>
      <c r="C228" s="3" t="s">
        <v>736</v>
      </c>
      <c r="D228" s="3">
        <v>90</v>
      </c>
      <c r="E228" s="3" t="s">
        <v>737</v>
      </c>
    </row>
    <row r="229" spans="1:5" ht="13" hidden="1" x14ac:dyDescent="0.15">
      <c r="A229" s="3" t="s">
        <v>39</v>
      </c>
      <c r="B229" s="3" t="e">
        <f t="array" aca="1" ref="B229" ca="1">_xludf.XLOOKUP(A229,duobahlul_videos!$A$1:$A$52,duobahlul_videos!$B$1:$B$52)</f>
        <v>#NAME?</v>
      </c>
      <c r="C229" s="3" t="s">
        <v>738</v>
      </c>
      <c r="D229" s="3">
        <v>114</v>
      </c>
      <c r="E229" s="3" t="s">
        <v>739</v>
      </c>
    </row>
    <row r="230" spans="1:5" ht="13" hidden="1" x14ac:dyDescent="0.15">
      <c r="A230" s="3" t="s">
        <v>39</v>
      </c>
      <c r="B230" s="3" t="e">
        <f t="array" aca="1" ref="B230" ca="1">_xludf.XLOOKUP(A230,duobahlul_videos!$A$1:$A$52,duobahlul_videos!$B$1:$B$52)</f>
        <v>#NAME?</v>
      </c>
      <c r="C230" s="3" t="s">
        <v>740</v>
      </c>
      <c r="D230" s="3">
        <v>121</v>
      </c>
      <c r="E230" s="3" t="s">
        <v>741</v>
      </c>
    </row>
    <row r="231" spans="1:5" ht="13" hidden="1" x14ac:dyDescent="0.15">
      <c r="A231" s="3" t="s">
        <v>39</v>
      </c>
      <c r="B231" s="3" t="e">
        <f t="array" aca="1" ref="B231" ca="1">_xludf.XLOOKUP(A231,duobahlul_videos!$A$1:$A$52,duobahlul_videos!$B$1:$B$52)</f>
        <v>#NAME?</v>
      </c>
      <c r="C231" s="3" t="s">
        <v>742</v>
      </c>
      <c r="D231" s="3">
        <v>80</v>
      </c>
      <c r="E231" s="3" t="s">
        <v>743</v>
      </c>
    </row>
    <row r="232" spans="1:5" ht="13" hidden="1" x14ac:dyDescent="0.15">
      <c r="A232" s="3" t="s">
        <v>39</v>
      </c>
      <c r="B232" s="3" t="e">
        <f t="array" aca="1" ref="B232" ca="1">_xludf.XLOOKUP(A232,duobahlul_videos!$A$1:$A$52,duobahlul_videos!$B$1:$B$52)</f>
        <v>#NAME?</v>
      </c>
      <c r="C232" s="3" t="s">
        <v>744</v>
      </c>
      <c r="D232" s="3">
        <v>282</v>
      </c>
      <c r="E232" s="3" t="s">
        <v>745</v>
      </c>
    </row>
    <row r="233" spans="1:5" ht="13" hidden="1" x14ac:dyDescent="0.15">
      <c r="A233" s="3" t="s">
        <v>39</v>
      </c>
      <c r="B233" s="3" t="e">
        <f t="array" aca="1" ref="B233" ca="1">_xludf.XLOOKUP(A233,duobahlul_videos!$A$1:$A$52,duobahlul_videos!$B$1:$B$52)</f>
        <v>#NAME?</v>
      </c>
      <c r="C233" s="3" t="s">
        <v>746</v>
      </c>
      <c r="D233" s="3">
        <v>21</v>
      </c>
      <c r="E233" s="3" t="s">
        <v>747</v>
      </c>
    </row>
    <row r="234" spans="1:5" ht="13" hidden="1" x14ac:dyDescent="0.15">
      <c r="A234" s="3" t="s">
        <v>39</v>
      </c>
      <c r="B234" s="3" t="e">
        <f t="array" aca="1" ref="B234" ca="1">_xludf.XLOOKUP(A234,duobahlul_videos!$A$1:$A$52,duobahlul_videos!$B$1:$B$52)</f>
        <v>#NAME?</v>
      </c>
      <c r="C234" s="3" t="s">
        <v>748</v>
      </c>
      <c r="D234" s="3">
        <v>26</v>
      </c>
      <c r="E234" s="3" t="s">
        <v>749</v>
      </c>
    </row>
    <row r="235" spans="1:5" ht="13" hidden="1" x14ac:dyDescent="0.15">
      <c r="A235" s="3" t="s">
        <v>39</v>
      </c>
      <c r="B235" s="3" t="e">
        <f t="array" aca="1" ref="B235" ca="1">_xludf.XLOOKUP(A235,duobahlul_videos!$A$1:$A$52,duobahlul_videos!$B$1:$B$52)</f>
        <v>#NAME?</v>
      </c>
      <c r="C235" s="3" t="s">
        <v>750</v>
      </c>
      <c r="D235" s="3">
        <v>37</v>
      </c>
      <c r="E235" s="3" t="s">
        <v>751</v>
      </c>
    </row>
    <row r="236" spans="1:5" ht="13" hidden="1" x14ac:dyDescent="0.15">
      <c r="A236" s="3" t="s">
        <v>39</v>
      </c>
      <c r="B236" s="3" t="e">
        <f t="array" aca="1" ref="B236" ca="1">_xludf.XLOOKUP(A236,duobahlul_videos!$A$1:$A$52,duobahlul_videos!$B$1:$B$52)</f>
        <v>#NAME?</v>
      </c>
      <c r="C236" s="3" t="s">
        <v>752</v>
      </c>
      <c r="D236" s="3">
        <v>28</v>
      </c>
      <c r="E236" s="3" t="s">
        <v>753</v>
      </c>
    </row>
    <row r="237" spans="1:5" ht="13" hidden="1" x14ac:dyDescent="0.15">
      <c r="A237" s="3" t="s">
        <v>39</v>
      </c>
      <c r="B237" s="3" t="e">
        <f t="array" aca="1" ref="B237" ca="1">_xludf.XLOOKUP(A237,duobahlul_videos!$A$1:$A$52,duobahlul_videos!$B$1:$B$52)</f>
        <v>#NAME?</v>
      </c>
      <c r="C237" s="3" t="s">
        <v>754</v>
      </c>
      <c r="D237" s="3">
        <v>48</v>
      </c>
      <c r="E237" s="3" t="s">
        <v>755</v>
      </c>
    </row>
    <row r="238" spans="1:5" ht="13" hidden="1" x14ac:dyDescent="0.15">
      <c r="A238" s="3" t="s">
        <v>39</v>
      </c>
      <c r="B238" s="3" t="e">
        <f t="array" aca="1" ref="B238" ca="1">_xludf.XLOOKUP(A238,duobahlul_videos!$A$1:$A$52,duobahlul_videos!$B$1:$B$52)</f>
        <v>#NAME?</v>
      </c>
      <c r="C238" s="3" t="s">
        <v>756</v>
      </c>
      <c r="D238" s="3">
        <v>41</v>
      </c>
      <c r="E238" s="3" t="s">
        <v>757</v>
      </c>
    </row>
    <row r="239" spans="1:5" ht="13" hidden="1" x14ac:dyDescent="0.15">
      <c r="A239" s="3" t="s">
        <v>39</v>
      </c>
      <c r="B239" s="3" t="e">
        <f t="array" aca="1" ref="B239" ca="1">_xludf.XLOOKUP(A239,duobahlul_videos!$A$1:$A$52,duobahlul_videos!$B$1:$B$52)</f>
        <v>#NAME?</v>
      </c>
      <c r="C239" s="3" t="s">
        <v>758</v>
      </c>
      <c r="D239" s="3">
        <v>35</v>
      </c>
      <c r="E239" s="3" t="s">
        <v>759</v>
      </c>
    </row>
    <row r="240" spans="1:5" ht="13" hidden="1" x14ac:dyDescent="0.15">
      <c r="A240" s="3" t="s">
        <v>39</v>
      </c>
      <c r="B240" s="3" t="e">
        <f t="array" aca="1" ref="B240" ca="1">_xludf.XLOOKUP(A240,duobahlul_videos!$A$1:$A$52,duobahlul_videos!$B$1:$B$52)</f>
        <v>#NAME?</v>
      </c>
      <c r="C240" s="3" t="s">
        <v>760</v>
      </c>
      <c r="D240" s="3">
        <v>64</v>
      </c>
      <c r="E240" s="3" t="s">
        <v>761</v>
      </c>
    </row>
    <row r="241" spans="1:5" ht="13" hidden="1" x14ac:dyDescent="0.15">
      <c r="A241" s="3" t="s">
        <v>39</v>
      </c>
      <c r="B241" s="3" t="e">
        <f t="array" aca="1" ref="B241" ca="1">_xludf.XLOOKUP(A241,duobahlul_videos!$A$1:$A$52,duobahlul_videos!$B$1:$B$52)</f>
        <v>#NAME?</v>
      </c>
      <c r="C241" s="3" t="s">
        <v>762</v>
      </c>
      <c r="D241" s="3">
        <v>25</v>
      </c>
      <c r="E241" s="3" t="s">
        <v>763</v>
      </c>
    </row>
    <row r="242" spans="1:5" ht="13" hidden="1" x14ac:dyDescent="0.15">
      <c r="A242" s="3" t="s">
        <v>126</v>
      </c>
      <c r="B242" s="3" t="e">
        <f t="array" aca="1" ref="B242" ca="1">_xludf.XLOOKUP(A242,duobahlul_videos!$A$1:$A$52,duobahlul_videos!$B$1:$B$52)</f>
        <v>#NAME?</v>
      </c>
      <c r="C242" s="3" t="s">
        <v>764</v>
      </c>
      <c r="D242" s="3">
        <v>190</v>
      </c>
      <c r="E242" s="3" t="s">
        <v>765</v>
      </c>
    </row>
    <row r="243" spans="1:5" ht="13" hidden="1" x14ac:dyDescent="0.15">
      <c r="A243" s="3" t="s">
        <v>126</v>
      </c>
      <c r="B243" s="3" t="e">
        <f t="array" aca="1" ref="B243" ca="1">_xludf.XLOOKUP(A243,duobahlul_videos!$A$1:$A$52,duobahlul_videos!$B$1:$B$52)</f>
        <v>#NAME?</v>
      </c>
      <c r="C243" s="3" t="s">
        <v>766</v>
      </c>
      <c r="D243" s="3">
        <v>389</v>
      </c>
      <c r="E243" s="3" t="s">
        <v>767</v>
      </c>
    </row>
    <row r="244" spans="1:5" ht="13" hidden="1" x14ac:dyDescent="0.15">
      <c r="A244" s="3" t="s">
        <v>126</v>
      </c>
      <c r="B244" s="3" t="e">
        <f t="array" aca="1" ref="B244" ca="1">_xludf.XLOOKUP(A244,duobahlul_videos!$A$1:$A$52,duobahlul_videos!$B$1:$B$52)</f>
        <v>#NAME?</v>
      </c>
      <c r="C244" s="3" t="s">
        <v>768</v>
      </c>
      <c r="D244" s="3">
        <v>34</v>
      </c>
      <c r="E244" s="3" t="s">
        <v>769</v>
      </c>
    </row>
    <row r="245" spans="1:5" ht="13" hidden="1" x14ac:dyDescent="0.15">
      <c r="A245" s="3" t="s">
        <v>126</v>
      </c>
      <c r="B245" s="3" t="e">
        <f t="array" aca="1" ref="B245" ca="1">_xludf.XLOOKUP(A245,duobahlul_videos!$A$1:$A$52,duobahlul_videos!$B$1:$B$52)</f>
        <v>#NAME?</v>
      </c>
      <c r="C245" s="3" t="s">
        <v>770</v>
      </c>
      <c r="D245" s="3">
        <v>204</v>
      </c>
      <c r="E245" s="3" t="s">
        <v>771</v>
      </c>
    </row>
    <row r="246" spans="1:5" ht="13" hidden="1" x14ac:dyDescent="0.15">
      <c r="A246" s="3" t="s">
        <v>126</v>
      </c>
      <c r="B246" s="3" t="e">
        <f t="array" aca="1" ref="B246" ca="1">_xludf.XLOOKUP(A246,duobahlul_videos!$A$1:$A$52,duobahlul_videos!$B$1:$B$52)</f>
        <v>#NAME?</v>
      </c>
      <c r="C246" s="3" t="s">
        <v>772</v>
      </c>
      <c r="D246" s="3">
        <v>147</v>
      </c>
      <c r="E246" s="3" t="s">
        <v>773</v>
      </c>
    </row>
    <row r="247" spans="1:5" ht="13" hidden="1" x14ac:dyDescent="0.15">
      <c r="A247" s="3" t="s">
        <v>126</v>
      </c>
      <c r="B247" s="3" t="e">
        <f t="array" aca="1" ref="B247" ca="1">_xludf.XLOOKUP(A247,duobahlul_videos!$A$1:$A$52,duobahlul_videos!$B$1:$B$52)</f>
        <v>#NAME?</v>
      </c>
      <c r="C247" s="3" t="s">
        <v>774</v>
      </c>
      <c r="D247" s="3">
        <v>96</v>
      </c>
      <c r="E247" s="3" t="s">
        <v>775</v>
      </c>
    </row>
    <row r="248" spans="1:5" ht="13" hidden="1" x14ac:dyDescent="0.15">
      <c r="A248" s="3" t="s">
        <v>126</v>
      </c>
      <c r="B248" s="3" t="e">
        <f t="array" aca="1" ref="B248" ca="1">_xludf.XLOOKUP(A248,duobahlul_videos!$A$1:$A$52,duobahlul_videos!$B$1:$B$52)</f>
        <v>#NAME?</v>
      </c>
      <c r="C248" s="3" t="s">
        <v>776</v>
      </c>
      <c r="D248" s="3">
        <v>22</v>
      </c>
      <c r="E248" s="3" t="s">
        <v>777</v>
      </c>
    </row>
    <row r="249" spans="1:5" ht="13" hidden="1" x14ac:dyDescent="0.15">
      <c r="A249" s="3" t="s">
        <v>126</v>
      </c>
      <c r="B249" s="3" t="e">
        <f t="array" aca="1" ref="B249" ca="1">_xludf.XLOOKUP(A249,duobahlul_videos!$A$1:$A$52,duobahlul_videos!$B$1:$B$52)</f>
        <v>#NAME?</v>
      </c>
      <c r="C249" s="3" t="s">
        <v>778</v>
      </c>
      <c r="D249" s="3">
        <v>25</v>
      </c>
      <c r="E249" s="3" t="s">
        <v>779</v>
      </c>
    </row>
    <row r="250" spans="1:5" ht="13" hidden="1" x14ac:dyDescent="0.15">
      <c r="A250" s="3" t="s">
        <v>126</v>
      </c>
      <c r="B250" s="3" t="e">
        <f t="array" aca="1" ref="B250" ca="1">_xludf.XLOOKUP(A250,duobahlul_videos!$A$1:$A$52,duobahlul_videos!$B$1:$B$52)</f>
        <v>#NAME?</v>
      </c>
      <c r="C250" s="3" t="s">
        <v>780</v>
      </c>
      <c r="D250" s="3">
        <v>30</v>
      </c>
      <c r="E250" s="3" t="s">
        <v>781</v>
      </c>
    </row>
    <row r="251" spans="1:5" ht="13" hidden="1" x14ac:dyDescent="0.15">
      <c r="A251" s="3" t="s">
        <v>126</v>
      </c>
      <c r="B251" s="3" t="e">
        <f t="array" aca="1" ref="B251" ca="1">_xludf.XLOOKUP(A251,duobahlul_videos!$A$1:$A$52,duobahlul_videos!$B$1:$B$52)</f>
        <v>#NAME?</v>
      </c>
      <c r="C251" s="3" t="s">
        <v>782</v>
      </c>
      <c r="D251" s="3">
        <v>71</v>
      </c>
      <c r="E251" s="3" t="s">
        <v>783</v>
      </c>
    </row>
    <row r="252" spans="1:5" ht="13" hidden="1" x14ac:dyDescent="0.15">
      <c r="A252" s="3" t="s">
        <v>126</v>
      </c>
      <c r="B252" s="3" t="e">
        <f t="array" aca="1" ref="B252" ca="1">_xludf.XLOOKUP(A252,duobahlul_videos!$A$1:$A$52,duobahlul_videos!$B$1:$B$52)</f>
        <v>#NAME?</v>
      </c>
      <c r="C252" s="3" t="s">
        <v>784</v>
      </c>
      <c r="D252" s="3">
        <v>97</v>
      </c>
      <c r="E252" s="3" t="s">
        <v>785</v>
      </c>
    </row>
    <row r="253" spans="1:5" ht="13" hidden="1" x14ac:dyDescent="0.15">
      <c r="A253" s="3" t="s">
        <v>126</v>
      </c>
      <c r="B253" s="3" t="e">
        <f t="array" aca="1" ref="B253" ca="1">_xludf.XLOOKUP(A253,duobahlul_videos!$A$1:$A$52,duobahlul_videos!$B$1:$B$52)</f>
        <v>#NAME?</v>
      </c>
      <c r="C253" s="3" t="s">
        <v>786</v>
      </c>
      <c r="D253" s="3">
        <v>36</v>
      </c>
      <c r="E253" s="3" t="s">
        <v>787</v>
      </c>
    </row>
    <row r="254" spans="1:5" ht="13" hidden="1" x14ac:dyDescent="0.15">
      <c r="A254" s="3" t="s">
        <v>126</v>
      </c>
      <c r="B254" s="3" t="e">
        <f t="array" aca="1" ref="B254" ca="1">_xludf.XLOOKUP(A254,duobahlul_videos!$A$1:$A$52,duobahlul_videos!$B$1:$B$52)</f>
        <v>#NAME?</v>
      </c>
      <c r="C254" s="3" t="s">
        <v>788</v>
      </c>
      <c r="D254" s="3">
        <v>305</v>
      </c>
      <c r="E254" s="3" t="s">
        <v>789</v>
      </c>
    </row>
    <row r="255" spans="1:5" ht="13" hidden="1" x14ac:dyDescent="0.15">
      <c r="A255" s="3" t="s">
        <v>126</v>
      </c>
      <c r="B255" s="3" t="e">
        <f t="array" aca="1" ref="B255" ca="1">_xludf.XLOOKUP(A255,duobahlul_videos!$A$1:$A$52,duobahlul_videos!$B$1:$B$52)</f>
        <v>#NAME?</v>
      </c>
      <c r="C255" s="3" t="s">
        <v>790</v>
      </c>
      <c r="D255" s="3">
        <v>47</v>
      </c>
      <c r="E255" s="3" t="s">
        <v>791</v>
      </c>
    </row>
    <row r="256" spans="1:5" ht="13" hidden="1" x14ac:dyDescent="0.15">
      <c r="A256" s="3" t="s">
        <v>126</v>
      </c>
      <c r="B256" s="3" t="e">
        <f t="array" aca="1" ref="B256" ca="1">_xludf.XLOOKUP(A256,duobahlul_videos!$A$1:$A$52,duobahlul_videos!$B$1:$B$52)</f>
        <v>#NAME?</v>
      </c>
      <c r="C256" s="3" t="s">
        <v>792</v>
      </c>
      <c r="D256" s="3">
        <v>9</v>
      </c>
      <c r="E256" s="3" t="s">
        <v>793</v>
      </c>
    </row>
    <row r="257" spans="1:5" ht="13" hidden="1" x14ac:dyDescent="0.15">
      <c r="A257" s="3" t="s">
        <v>126</v>
      </c>
      <c r="B257" s="3" t="e">
        <f t="array" aca="1" ref="B257" ca="1">_xludf.XLOOKUP(A257,duobahlul_videos!$A$1:$A$52,duobahlul_videos!$B$1:$B$52)</f>
        <v>#NAME?</v>
      </c>
      <c r="C257" s="3" t="s">
        <v>794</v>
      </c>
      <c r="D257" s="3">
        <v>17</v>
      </c>
      <c r="E257" s="3" t="s">
        <v>795</v>
      </c>
    </row>
    <row r="258" spans="1:5" ht="13" hidden="1" x14ac:dyDescent="0.15">
      <c r="A258" s="3" t="s">
        <v>126</v>
      </c>
      <c r="B258" s="3" t="e">
        <f t="array" aca="1" ref="B258" ca="1">_xludf.XLOOKUP(A258,duobahlul_videos!$A$1:$A$52,duobahlul_videos!$B$1:$B$52)</f>
        <v>#NAME?</v>
      </c>
      <c r="C258" s="3" t="s">
        <v>796</v>
      </c>
      <c r="D258" s="3">
        <v>123</v>
      </c>
      <c r="E258" s="3" t="s">
        <v>797</v>
      </c>
    </row>
    <row r="259" spans="1:5" ht="13" hidden="1" x14ac:dyDescent="0.15">
      <c r="A259" s="3" t="s">
        <v>126</v>
      </c>
      <c r="B259" s="3" t="e">
        <f t="array" aca="1" ref="B259" ca="1">_xludf.XLOOKUP(A259,duobahlul_videos!$A$1:$A$52,duobahlul_videos!$B$1:$B$52)</f>
        <v>#NAME?</v>
      </c>
      <c r="C259" s="3" t="s">
        <v>798</v>
      </c>
      <c r="D259" s="3">
        <v>10</v>
      </c>
      <c r="E259" s="3" t="s">
        <v>799</v>
      </c>
    </row>
    <row r="260" spans="1:5" ht="13" hidden="1" x14ac:dyDescent="0.15">
      <c r="A260" s="3" t="s">
        <v>126</v>
      </c>
      <c r="B260" s="3" t="e">
        <f t="array" aca="1" ref="B260" ca="1">_xludf.XLOOKUP(A260,duobahlul_videos!$A$1:$A$52,duobahlul_videos!$B$1:$B$52)</f>
        <v>#NAME?</v>
      </c>
      <c r="C260" s="3" t="s">
        <v>800</v>
      </c>
      <c r="D260" s="3">
        <v>20</v>
      </c>
      <c r="E260" s="3" t="s">
        <v>801</v>
      </c>
    </row>
    <row r="261" spans="1:5" ht="13" hidden="1" x14ac:dyDescent="0.15">
      <c r="A261" s="3" t="s">
        <v>126</v>
      </c>
      <c r="B261" s="3" t="e">
        <f t="array" aca="1" ref="B261" ca="1">_xludf.XLOOKUP(A261,duobahlul_videos!$A$1:$A$52,duobahlul_videos!$B$1:$B$52)</f>
        <v>#NAME?</v>
      </c>
      <c r="C261" s="3" t="s">
        <v>802</v>
      </c>
      <c r="D261" s="3">
        <v>14</v>
      </c>
      <c r="E261" s="3" t="s">
        <v>803</v>
      </c>
    </row>
    <row r="262" spans="1:5" ht="13" hidden="1" x14ac:dyDescent="0.15">
      <c r="A262" s="3" t="s">
        <v>326</v>
      </c>
      <c r="B262" s="3" t="e">
        <f t="array" aca="1" ref="B262" ca="1">_xludf.XLOOKUP(A262,duobahlul_videos!$A$1:$A$52,duobahlul_videos!$B$1:$B$52)</f>
        <v>#NAME?</v>
      </c>
      <c r="C262" s="3" t="s">
        <v>804</v>
      </c>
      <c r="D262" s="3">
        <v>41</v>
      </c>
      <c r="E262" s="3" t="s">
        <v>805</v>
      </c>
    </row>
    <row r="263" spans="1:5" ht="13" hidden="1" x14ac:dyDescent="0.15">
      <c r="A263" s="3" t="s">
        <v>326</v>
      </c>
      <c r="B263" s="3" t="e">
        <f t="array" aca="1" ref="B263" ca="1">_xludf.XLOOKUP(A263,duobahlul_videos!$A$1:$A$52,duobahlul_videos!$B$1:$B$52)</f>
        <v>#NAME?</v>
      </c>
      <c r="C263" s="3" t="s">
        <v>806</v>
      </c>
      <c r="D263" s="3">
        <v>17</v>
      </c>
      <c r="E263" s="3" t="s">
        <v>807</v>
      </c>
    </row>
    <row r="264" spans="1:5" ht="13" hidden="1" x14ac:dyDescent="0.15">
      <c r="A264" s="3" t="s">
        <v>326</v>
      </c>
      <c r="B264" s="3" t="e">
        <f t="array" aca="1" ref="B264" ca="1">_xludf.XLOOKUP(A264,duobahlul_videos!$A$1:$A$52,duobahlul_videos!$B$1:$B$52)</f>
        <v>#NAME?</v>
      </c>
      <c r="C264" s="3" t="s">
        <v>808</v>
      </c>
      <c r="D264" s="3">
        <v>119</v>
      </c>
      <c r="E264" s="3" t="s">
        <v>809</v>
      </c>
    </row>
    <row r="265" spans="1:5" ht="13" hidden="1" x14ac:dyDescent="0.15">
      <c r="A265" s="3" t="s">
        <v>326</v>
      </c>
      <c r="B265" s="3" t="e">
        <f t="array" aca="1" ref="B265" ca="1">_xludf.XLOOKUP(A265,duobahlul_videos!$A$1:$A$52,duobahlul_videos!$B$1:$B$52)</f>
        <v>#NAME?</v>
      </c>
      <c r="C265" s="3" t="s">
        <v>810</v>
      </c>
      <c r="D265" s="3">
        <v>21</v>
      </c>
      <c r="E265" s="3" t="s">
        <v>811</v>
      </c>
    </row>
    <row r="266" spans="1:5" ht="13" hidden="1" x14ac:dyDescent="0.15">
      <c r="A266" s="3" t="s">
        <v>326</v>
      </c>
      <c r="B266" s="3" t="e">
        <f t="array" aca="1" ref="B266" ca="1">_xludf.XLOOKUP(A266,duobahlul_videos!$A$1:$A$52,duobahlul_videos!$B$1:$B$52)</f>
        <v>#NAME?</v>
      </c>
      <c r="C266" s="3" t="s">
        <v>812</v>
      </c>
      <c r="D266" s="3">
        <v>41</v>
      </c>
      <c r="E266" s="3" t="s">
        <v>813</v>
      </c>
    </row>
    <row r="267" spans="1:5" ht="13" hidden="1" x14ac:dyDescent="0.15">
      <c r="A267" s="3" t="s">
        <v>326</v>
      </c>
      <c r="B267" s="3" t="e">
        <f t="array" aca="1" ref="B267" ca="1">_xludf.XLOOKUP(A267,duobahlul_videos!$A$1:$A$52,duobahlul_videos!$B$1:$B$52)</f>
        <v>#NAME?</v>
      </c>
      <c r="C267" s="3" t="s">
        <v>814</v>
      </c>
      <c r="D267" s="3">
        <v>24</v>
      </c>
      <c r="E267" s="3" t="s">
        <v>815</v>
      </c>
    </row>
    <row r="268" spans="1:5" ht="13" hidden="1" x14ac:dyDescent="0.15">
      <c r="A268" s="3" t="s">
        <v>326</v>
      </c>
      <c r="B268" s="3" t="e">
        <f t="array" aca="1" ref="B268" ca="1">_xludf.XLOOKUP(A268,duobahlul_videos!$A$1:$A$52,duobahlul_videos!$B$1:$B$52)</f>
        <v>#NAME?</v>
      </c>
      <c r="C268" s="3" t="s">
        <v>816</v>
      </c>
      <c r="D268" s="3">
        <v>45</v>
      </c>
      <c r="E268" s="3" t="s">
        <v>817</v>
      </c>
    </row>
    <row r="269" spans="1:5" ht="13" hidden="1" x14ac:dyDescent="0.15">
      <c r="A269" s="3" t="s">
        <v>326</v>
      </c>
      <c r="B269" s="3" t="e">
        <f t="array" aca="1" ref="B269" ca="1">_xludf.XLOOKUP(A269,duobahlul_videos!$A$1:$A$52,duobahlul_videos!$B$1:$B$52)</f>
        <v>#NAME?</v>
      </c>
      <c r="C269" s="3" t="s">
        <v>818</v>
      </c>
      <c r="D269" s="3">
        <v>2</v>
      </c>
      <c r="E269" s="3" t="s">
        <v>819</v>
      </c>
    </row>
    <row r="270" spans="1:5" ht="13" hidden="1" x14ac:dyDescent="0.15">
      <c r="A270" s="3" t="s">
        <v>326</v>
      </c>
      <c r="B270" s="3" t="e">
        <f t="array" aca="1" ref="B270" ca="1">_xludf.XLOOKUP(A270,duobahlul_videos!$A$1:$A$52,duobahlul_videos!$B$1:$B$52)</f>
        <v>#NAME?</v>
      </c>
      <c r="C270" s="3" t="s">
        <v>820</v>
      </c>
      <c r="D270" s="3">
        <v>4</v>
      </c>
      <c r="E270" s="3" t="s">
        <v>821</v>
      </c>
    </row>
    <row r="271" spans="1:5" ht="13" hidden="1" x14ac:dyDescent="0.15">
      <c r="A271" s="3" t="s">
        <v>326</v>
      </c>
      <c r="B271" s="3" t="e">
        <f t="array" aca="1" ref="B271" ca="1">_xludf.XLOOKUP(A271,duobahlul_videos!$A$1:$A$52,duobahlul_videos!$B$1:$B$52)</f>
        <v>#NAME?</v>
      </c>
      <c r="C271" s="3" t="s">
        <v>822</v>
      </c>
      <c r="D271" s="3">
        <v>19</v>
      </c>
      <c r="E271" s="3" t="s">
        <v>823</v>
      </c>
    </row>
    <row r="272" spans="1:5" ht="13" hidden="1" x14ac:dyDescent="0.15">
      <c r="A272" s="3" t="s">
        <v>326</v>
      </c>
      <c r="B272" s="3" t="e">
        <f t="array" aca="1" ref="B272" ca="1">_xludf.XLOOKUP(A272,duobahlul_videos!$A$1:$A$52,duobahlul_videos!$B$1:$B$52)</f>
        <v>#NAME?</v>
      </c>
      <c r="C272" s="3" t="s">
        <v>824</v>
      </c>
      <c r="D272" s="3">
        <v>10</v>
      </c>
      <c r="E272" s="3" t="s">
        <v>825</v>
      </c>
    </row>
    <row r="273" spans="1:5" ht="13" hidden="1" x14ac:dyDescent="0.15">
      <c r="A273" s="3" t="s">
        <v>326</v>
      </c>
      <c r="B273" s="3" t="e">
        <f t="array" aca="1" ref="B273" ca="1">_xludf.XLOOKUP(A273,duobahlul_videos!$A$1:$A$52,duobahlul_videos!$B$1:$B$52)</f>
        <v>#NAME?</v>
      </c>
      <c r="C273" s="3" t="s">
        <v>826</v>
      </c>
      <c r="D273" s="3">
        <v>6</v>
      </c>
      <c r="E273" s="3" t="s">
        <v>827</v>
      </c>
    </row>
    <row r="274" spans="1:5" ht="13" hidden="1" x14ac:dyDescent="0.15">
      <c r="A274" s="3" t="s">
        <v>326</v>
      </c>
      <c r="B274" s="3" t="e">
        <f t="array" aca="1" ref="B274" ca="1">_xludf.XLOOKUP(A274,duobahlul_videos!$A$1:$A$52,duobahlul_videos!$B$1:$B$52)</f>
        <v>#NAME?</v>
      </c>
      <c r="C274" s="3" t="s">
        <v>828</v>
      </c>
      <c r="D274" s="3">
        <v>4</v>
      </c>
      <c r="E274" s="3" t="s">
        <v>829</v>
      </c>
    </row>
    <row r="275" spans="1:5" ht="13" hidden="1" x14ac:dyDescent="0.15">
      <c r="A275" s="3" t="s">
        <v>326</v>
      </c>
      <c r="B275" s="3" t="e">
        <f t="array" aca="1" ref="B275" ca="1">_xludf.XLOOKUP(A275,duobahlul_videos!$A$1:$A$52,duobahlul_videos!$B$1:$B$52)</f>
        <v>#NAME?</v>
      </c>
      <c r="C275" s="3" t="s">
        <v>830</v>
      </c>
      <c r="D275" s="3">
        <v>13</v>
      </c>
      <c r="E275" s="3" t="s">
        <v>831</v>
      </c>
    </row>
    <row r="276" spans="1:5" ht="13" hidden="1" x14ac:dyDescent="0.15">
      <c r="A276" s="3" t="s">
        <v>326</v>
      </c>
      <c r="B276" s="3" t="e">
        <f t="array" aca="1" ref="B276" ca="1">_xludf.XLOOKUP(A276,duobahlul_videos!$A$1:$A$52,duobahlul_videos!$B$1:$B$52)</f>
        <v>#NAME?</v>
      </c>
      <c r="C276" s="3" t="s">
        <v>832</v>
      </c>
      <c r="D276" s="3">
        <v>5</v>
      </c>
      <c r="E276" s="3" t="s">
        <v>833</v>
      </c>
    </row>
    <row r="277" spans="1:5" ht="13" hidden="1" x14ac:dyDescent="0.15">
      <c r="A277" s="3" t="s">
        <v>326</v>
      </c>
      <c r="B277" s="3" t="e">
        <f t="array" aca="1" ref="B277" ca="1">_xludf.XLOOKUP(A277,duobahlul_videos!$A$1:$A$52,duobahlul_videos!$B$1:$B$52)</f>
        <v>#NAME?</v>
      </c>
      <c r="C277" s="3" t="s">
        <v>834</v>
      </c>
      <c r="D277" s="3">
        <v>5</v>
      </c>
      <c r="E277" s="3" t="s">
        <v>835</v>
      </c>
    </row>
    <row r="278" spans="1:5" ht="13" hidden="1" x14ac:dyDescent="0.15">
      <c r="A278" s="3" t="s">
        <v>326</v>
      </c>
      <c r="B278" s="3" t="e">
        <f t="array" aca="1" ref="B278" ca="1">_xludf.XLOOKUP(A278,duobahlul_videos!$A$1:$A$52,duobahlul_videos!$B$1:$B$52)</f>
        <v>#NAME?</v>
      </c>
      <c r="C278" s="3" t="s">
        <v>836</v>
      </c>
      <c r="D278" s="3">
        <v>6</v>
      </c>
      <c r="E278" s="3" t="s">
        <v>837</v>
      </c>
    </row>
    <row r="279" spans="1:5" ht="13" hidden="1" x14ac:dyDescent="0.15">
      <c r="A279" s="3" t="s">
        <v>326</v>
      </c>
      <c r="B279" s="3" t="e">
        <f t="array" aca="1" ref="B279" ca="1">_xludf.XLOOKUP(A279,duobahlul_videos!$A$1:$A$52,duobahlul_videos!$B$1:$B$52)</f>
        <v>#NAME?</v>
      </c>
      <c r="C279" s="3" t="s">
        <v>838</v>
      </c>
      <c r="D279" s="3">
        <v>2</v>
      </c>
      <c r="E279" s="3" t="s">
        <v>839</v>
      </c>
    </row>
    <row r="280" spans="1:5" ht="13" hidden="1" x14ac:dyDescent="0.15">
      <c r="A280" s="3" t="s">
        <v>326</v>
      </c>
      <c r="B280" s="3" t="e">
        <f t="array" aca="1" ref="B280" ca="1">_xludf.XLOOKUP(A280,duobahlul_videos!$A$1:$A$52,duobahlul_videos!$B$1:$B$52)</f>
        <v>#NAME?</v>
      </c>
      <c r="C280" s="3" t="s">
        <v>840</v>
      </c>
      <c r="D280" s="3">
        <v>3</v>
      </c>
      <c r="E280" s="3" t="s">
        <v>841</v>
      </c>
    </row>
    <row r="281" spans="1:5" ht="13" hidden="1" x14ac:dyDescent="0.15">
      <c r="A281" s="3" t="s">
        <v>326</v>
      </c>
      <c r="B281" s="3" t="e">
        <f t="array" aca="1" ref="B281" ca="1">_xludf.XLOOKUP(A281,duobahlul_videos!$A$1:$A$52,duobahlul_videos!$B$1:$B$52)</f>
        <v>#NAME?</v>
      </c>
      <c r="C281" s="3" t="s">
        <v>842</v>
      </c>
      <c r="D281" s="3">
        <v>2</v>
      </c>
      <c r="E281" s="3" t="s">
        <v>843</v>
      </c>
    </row>
    <row r="282" spans="1:5" ht="13" hidden="1" x14ac:dyDescent="0.15">
      <c r="A282" s="3" t="s">
        <v>95</v>
      </c>
      <c r="B282" s="3" t="e">
        <f t="array" aca="1" ref="B282" ca="1">_xludf.XLOOKUP(A282,duobahlul_videos!$A$1:$A$52,duobahlul_videos!$B$1:$B$52)</f>
        <v>#NAME?</v>
      </c>
      <c r="C282" s="3" t="s">
        <v>844</v>
      </c>
      <c r="D282" s="3">
        <v>536</v>
      </c>
      <c r="E282" s="3" t="s">
        <v>845</v>
      </c>
    </row>
    <row r="283" spans="1:5" ht="13" hidden="1" x14ac:dyDescent="0.15">
      <c r="A283" s="3" t="s">
        <v>95</v>
      </c>
      <c r="B283" s="3" t="e">
        <f t="array" aca="1" ref="B283" ca="1">_xludf.XLOOKUP(A283,duobahlul_videos!$A$1:$A$52,duobahlul_videos!$B$1:$B$52)</f>
        <v>#NAME?</v>
      </c>
      <c r="C283" s="3" t="s">
        <v>846</v>
      </c>
      <c r="D283" s="3">
        <v>520</v>
      </c>
      <c r="E283" s="3" t="s">
        <v>847</v>
      </c>
    </row>
    <row r="284" spans="1:5" ht="13" hidden="1" x14ac:dyDescent="0.15">
      <c r="A284" s="3" t="s">
        <v>95</v>
      </c>
      <c r="B284" s="3" t="e">
        <f t="array" aca="1" ref="B284" ca="1">_xludf.XLOOKUP(A284,duobahlul_videos!$A$1:$A$52,duobahlul_videos!$B$1:$B$52)</f>
        <v>#NAME?</v>
      </c>
      <c r="C284" s="3" t="s">
        <v>848</v>
      </c>
      <c r="D284" s="3">
        <v>285</v>
      </c>
      <c r="E284" s="3" t="s">
        <v>849</v>
      </c>
    </row>
    <row r="285" spans="1:5" ht="13" hidden="1" x14ac:dyDescent="0.15">
      <c r="A285" s="3" t="s">
        <v>95</v>
      </c>
      <c r="B285" s="3" t="e">
        <f t="array" aca="1" ref="B285" ca="1">_xludf.XLOOKUP(A285,duobahlul_videos!$A$1:$A$52,duobahlul_videos!$B$1:$B$52)</f>
        <v>#NAME?</v>
      </c>
      <c r="C285" s="3" t="s">
        <v>850</v>
      </c>
      <c r="D285" s="3">
        <v>701</v>
      </c>
      <c r="E285" s="3" t="s">
        <v>851</v>
      </c>
    </row>
    <row r="286" spans="1:5" ht="13" hidden="1" x14ac:dyDescent="0.15">
      <c r="A286" s="3" t="s">
        <v>95</v>
      </c>
      <c r="B286" s="3" t="e">
        <f t="array" aca="1" ref="B286" ca="1">_xludf.XLOOKUP(A286,duobahlul_videos!$A$1:$A$52,duobahlul_videos!$B$1:$B$52)</f>
        <v>#NAME?</v>
      </c>
      <c r="C286" s="3" t="s">
        <v>852</v>
      </c>
      <c r="D286" s="3">
        <v>446</v>
      </c>
      <c r="E286" s="3" t="s">
        <v>853</v>
      </c>
    </row>
    <row r="287" spans="1:5" ht="13" hidden="1" x14ac:dyDescent="0.15">
      <c r="A287" s="3" t="s">
        <v>95</v>
      </c>
      <c r="B287" s="3" t="e">
        <f t="array" aca="1" ref="B287" ca="1">_xludf.XLOOKUP(A287,duobahlul_videos!$A$1:$A$52,duobahlul_videos!$B$1:$B$52)</f>
        <v>#NAME?</v>
      </c>
      <c r="C287" s="3" t="s">
        <v>854</v>
      </c>
      <c r="D287" s="3">
        <v>85</v>
      </c>
      <c r="E287" s="3" t="s">
        <v>855</v>
      </c>
    </row>
    <row r="288" spans="1:5" ht="13" hidden="1" x14ac:dyDescent="0.15">
      <c r="A288" s="3" t="s">
        <v>95</v>
      </c>
      <c r="B288" s="3" t="e">
        <f t="array" aca="1" ref="B288" ca="1">_xludf.XLOOKUP(A288,duobahlul_videos!$A$1:$A$52,duobahlul_videos!$B$1:$B$52)</f>
        <v>#NAME?</v>
      </c>
      <c r="C288" s="3" t="s">
        <v>856</v>
      </c>
      <c r="D288" s="3">
        <v>98</v>
      </c>
      <c r="E288" s="3" t="s">
        <v>857</v>
      </c>
    </row>
    <row r="289" spans="1:5" ht="13" hidden="1" x14ac:dyDescent="0.15">
      <c r="A289" s="3" t="s">
        <v>95</v>
      </c>
      <c r="B289" s="3" t="e">
        <f t="array" aca="1" ref="B289" ca="1">_xludf.XLOOKUP(A289,duobahlul_videos!$A$1:$A$52,duobahlul_videos!$B$1:$B$52)</f>
        <v>#NAME?</v>
      </c>
      <c r="C289" s="3" t="s">
        <v>858</v>
      </c>
      <c r="D289" s="3">
        <v>221</v>
      </c>
      <c r="E289" s="3" t="s">
        <v>859</v>
      </c>
    </row>
    <row r="290" spans="1:5" ht="13" hidden="1" x14ac:dyDescent="0.15">
      <c r="A290" s="3" t="s">
        <v>95</v>
      </c>
      <c r="B290" s="3" t="e">
        <f t="array" aca="1" ref="B290" ca="1">_xludf.XLOOKUP(A290,duobahlul_videos!$A$1:$A$52,duobahlul_videos!$B$1:$B$52)</f>
        <v>#NAME?</v>
      </c>
      <c r="C290" s="3" t="s">
        <v>860</v>
      </c>
      <c r="D290" s="3">
        <v>157</v>
      </c>
      <c r="E290" s="3" t="s">
        <v>861</v>
      </c>
    </row>
    <row r="291" spans="1:5" ht="13" hidden="1" x14ac:dyDescent="0.15">
      <c r="A291" s="3" t="s">
        <v>95</v>
      </c>
      <c r="B291" s="3" t="e">
        <f t="array" aca="1" ref="B291" ca="1">_xludf.XLOOKUP(A291,duobahlul_videos!$A$1:$A$52,duobahlul_videos!$B$1:$B$52)</f>
        <v>#NAME?</v>
      </c>
      <c r="C291" s="3" t="s">
        <v>862</v>
      </c>
      <c r="D291" s="3">
        <v>200</v>
      </c>
      <c r="E291" s="3" t="s">
        <v>863</v>
      </c>
    </row>
    <row r="292" spans="1:5" ht="13" hidden="1" x14ac:dyDescent="0.15">
      <c r="A292" s="3" t="s">
        <v>95</v>
      </c>
      <c r="B292" s="3" t="e">
        <f t="array" aca="1" ref="B292" ca="1">_xludf.XLOOKUP(A292,duobahlul_videos!$A$1:$A$52,duobahlul_videos!$B$1:$B$52)</f>
        <v>#NAME?</v>
      </c>
      <c r="C292" s="3" t="s">
        <v>864</v>
      </c>
      <c r="D292" s="3">
        <v>117</v>
      </c>
      <c r="E292" s="3" t="s">
        <v>865</v>
      </c>
    </row>
    <row r="293" spans="1:5" ht="13" hidden="1" x14ac:dyDescent="0.15">
      <c r="A293" s="3" t="s">
        <v>95</v>
      </c>
      <c r="B293" s="3" t="e">
        <f t="array" aca="1" ref="B293" ca="1">_xludf.XLOOKUP(A293,duobahlul_videos!$A$1:$A$52,duobahlul_videos!$B$1:$B$52)</f>
        <v>#NAME?</v>
      </c>
      <c r="C293" s="3" t="s">
        <v>866</v>
      </c>
      <c r="D293" s="3">
        <v>21</v>
      </c>
      <c r="E293" s="3" t="s">
        <v>867</v>
      </c>
    </row>
    <row r="294" spans="1:5" ht="13" hidden="1" x14ac:dyDescent="0.15">
      <c r="A294" s="3" t="s">
        <v>95</v>
      </c>
      <c r="B294" s="3" t="e">
        <f t="array" aca="1" ref="B294" ca="1">_xludf.XLOOKUP(A294,duobahlul_videos!$A$1:$A$52,duobahlul_videos!$B$1:$B$52)</f>
        <v>#NAME?</v>
      </c>
      <c r="C294" s="3" t="s">
        <v>868</v>
      </c>
      <c r="D294" s="3">
        <v>103</v>
      </c>
      <c r="E294" s="3" t="s">
        <v>869</v>
      </c>
    </row>
    <row r="295" spans="1:5" ht="13" hidden="1" x14ac:dyDescent="0.15">
      <c r="A295" s="3" t="s">
        <v>95</v>
      </c>
      <c r="B295" s="3" t="e">
        <f t="array" aca="1" ref="B295" ca="1">_xludf.XLOOKUP(A295,duobahlul_videos!$A$1:$A$52,duobahlul_videos!$B$1:$B$52)</f>
        <v>#NAME?</v>
      </c>
      <c r="C295" s="3" t="s">
        <v>870</v>
      </c>
      <c r="D295" s="3">
        <v>49</v>
      </c>
      <c r="E295" s="3" t="s">
        <v>871</v>
      </c>
    </row>
    <row r="296" spans="1:5" ht="13" hidden="1" x14ac:dyDescent="0.15">
      <c r="A296" s="3" t="s">
        <v>95</v>
      </c>
      <c r="B296" s="3" t="e">
        <f t="array" aca="1" ref="B296" ca="1">_xludf.XLOOKUP(A296,duobahlul_videos!$A$1:$A$52,duobahlul_videos!$B$1:$B$52)</f>
        <v>#NAME?</v>
      </c>
      <c r="C296" s="3" t="s">
        <v>872</v>
      </c>
      <c r="D296" s="3">
        <v>59</v>
      </c>
      <c r="E296" s="3" t="s">
        <v>873</v>
      </c>
    </row>
    <row r="297" spans="1:5" ht="13" hidden="1" x14ac:dyDescent="0.15">
      <c r="A297" s="3" t="s">
        <v>95</v>
      </c>
      <c r="B297" s="3" t="e">
        <f t="array" aca="1" ref="B297" ca="1">_xludf.XLOOKUP(A297,duobahlul_videos!$A$1:$A$52,duobahlul_videos!$B$1:$B$52)</f>
        <v>#NAME?</v>
      </c>
      <c r="C297" s="3" t="s">
        <v>874</v>
      </c>
      <c r="D297" s="3">
        <v>53</v>
      </c>
      <c r="E297" s="3" t="s">
        <v>875</v>
      </c>
    </row>
    <row r="298" spans="1:5" ht="13" hidden="1" x14ac:dyDescent="0.15">
      <c r="A298" s="3" t="s">
        <v>95</v>
      </c>
      <c r="B298" s="3" t="e">
        <f t="array" aca="1" ref="B298" ca="1">_xludf.XLOOKUP(A298,duobahlul_videos!$A$1:$A$52,duobahlul_videos!$B$1:$B$52)</f>
        <v>#NAME?</v>
      </c>
      <c r="C298" s="3" t="s">
        <v>876</v>
      </c>
      <c r="D298" s="3">
        <v>39</v>
      </c>
      <c r="E298" s="3" t="s">
        <v>877</v>
      </c>
    </row>
    <row r="299" spans="1:5" ht="13" hidden="1" x14ac:dyDescent="0.15">
      <c r="A299" s="3" t="s">
        <v>95</v>
      </c>
      <c r="B299" s="3" t="e">
        <f t="array" aca="1" ref="B299" ca="1">_xludf.XLOOKUP(A299,duobahlul_videos!$A$1:$A$52,duobahlul_videos!$B$1:$B$52)</f>
        <v>#NAME?</v>
      </c>
      <c r="C299" s="3" t="s">
        <v>878</v>
      </c>
      <c r="D299" s="3">
        <v>23</v>
      </c>
      <c r="E299" s="3" t="s">
        <v>879</v>
      </c>
    </row>
    <row r="300" spans="1:5" ht="13" hidden="1" x14ac:dyDescent="0.15">
      <c r="A300" s="3" t="s">
        <v>95</v>
      </c>
      <c r="B300" s="3" t="e">
        <f t="array" aca="1" ref="B300" ca="1">_xludf.XLOOKUP(A300,duobahlul_videos!$A$1:$A$52,duobahlul_videos!$B$1:$B$52)</f>
        <v>#NAME?</v>
      </c>
      <c r="C300" s="3" t="s">
        <v>880</v>
      </c>
      <c r="D300" s="3">
        <v>6</v>
      </c>
      <c r="E300" s="3" t="s">
        <v>881</v>
      </c>
    </row>
    <row r="301" spans="1:5" ht="13" hidden="1" x14ac:dyDescent="0.15">
      <c r="A301" s="3" t="s">
        <v>95</v>
      </c>
      <c r="B301" s="3" t="e">
        <f t="array" aca="1" ref="B301" ca="1">_xludf.XLOOKUP(A301,duobahlul_videos!$A$1:$A$52,duobahlul_videos!$B$1:$B$52)</f>
        <v>#NAME?</v>
      </c>
      <c r="C301" s="3" t="s">
        <v>882</v>
      </c>
      <c r="D301" s="3">
        <v>40</v>
      </c>
      <c r="E301" s="3" t="s">
        <v>883</v>
      </c>
    </row>
    <row r="302" spans="1:5" ht="13" hidden="1" x14ac:dyDescent="0.15">
      <c r="A302" s="3" t="s">
        <v>173</v>
      </c>
      <c r="B302" s="3" t="e">
        <f t="array" aca="1" ref="B302" ca="1">_xludf.XLOOKUP(A302,duobahlul_videos!$A$1:$A$52,duobahlul_videos!$B$1:$B$52)</f>
        <v>#NAME?</v>
      </c>
      <c r="C302" s="3" t="s">
        <v>884</v>
      </c>
      <c r="D302" s="3">
        <v>51</v>
      </c>
      <c r="E302" s="3" t="s">
        <v>885</v>
      </c>
    </row>
    <row r="303" spans="1:5" ht="13" hidden="1" x14ac:dyDescent="0.15">
      <c r="A303" s="3" t="s">
        <v>173</v>
      </c>
      <c r="B303" s="3" t="e">
        <f t="array" aca="1" ref="B303" ca="1">_xludf.XLOOKUP(A303,duobahlul_videos!$A$1:$A$52,duobahlul_videos!$B$1:$B$52)</f>
        <v>#NAME?</v>
      </c>
      <c r="C303" s="3" t="s">
        <v>886</v>
      </c>
      <c r="D303" s="3">
        <v>488</v>
      </c>
      <c r="E303" s="3" t="s">
        <v>887</v>
      </c>
    </row>
    <row r="304" spans="1:5" ht="13" hidden="1" x14ac:dyDescent="0.15">
      <c r="A304" s="3" t="s">
        <v>173</v>
      </c>
      <c r="B304" s="3" t="e">
        <f t="array" aca="1" ref="B304" ca="1">_xludf.XLOOKUP(A304,duobahlul_videos!$A$1:$A$52,duobahlul_videos!$B$1:$B$52)</f>
        <v>#NAME?</v>
      </c>
      <c r="C304" s="3" t="s">
        <v>888</v>
      </c>
      <c r="D304" s="3">
        <v>200</v>
      </c>
      <c r="E304" s="3" t="s">
        <v>889</v>
      </c>
    </row>
    <row r="305" spans="1:5" ht="13" hidden="1" x14ac:dyDescent="0.15">
      <c r="A305" s="3" t="s">
        <v>173</v>
      </c>
      <c r="B305" s="3" t="e">
        <f t="array" aca="1" ref="B305" ca="1">_xludf.XLOOKUP(A305,duobahlul_videos!$A$1:$A$52,duobahlul_videos!$B$1:$B$52)</f>
        <v>#NAME?</v>
      </c>
      <c r="C305" s="3" t="s">
        <v>890</v>
      </c>
      <c r="D305" s="3">
        <v>107</v>
      </c>
      <c r="E305" s="3" t="s">
        <v>891</v>
      </c>
    </row>
    <row r="306" spans="1:5" ht="13" hidden="1" x14ac:dyDescent="0.15">
      <c r="A306" s="3" t="s">
        <v>173</v>
      </c>
      <c r="B306" s="3" t="e">
        <f t="array" aca="1" ref="B306" ca="1">_xludf.XLOOKUP(A306,duobahlul_videos!$A$1:$A$52,duobahlul_videos!$B$1:$B$52)</f>
        <v>#NAME?</v>
      </c>
      <c r="C306" s="3" t="s">
        <v>892</v>
      </c>
      <c r="D306" s="3">
        <v>338</v>
      </c>
      <c r="E306" s="3" t="s">
        <v>893</v>
      </c>
    </row>
    <row r="307" spans="1:5" ht="13" hidden="1" x14ac:dyDescent="0.15">
      <c r="A307" s="3" t="s">
        <v>173</v>
      </c>
      <c r="B307" s="3" t="e">
        <f t="array" aca="1" ref="B307" ca="1">_xludf.XLOOKUP(A307,duobahlul_videos!$A$1:$A$52,duobahlul_videos!$B$1:$B$52)</f>
        <v>#NAME?</v>
      </c>
      <c r="C307" s="3" t="s">
        <v>894</v>
      </c>
      <c r="D307" s="3">
        <v>135</v>
      </c>
      <c r="E307" s="3" t="s">
        <v>895</v>
      </c>
    </row>
    <row r="308" spans="1:5" ht="13" hidden="1" x14ac:dyDescent="0.15">
      <c r="A308" s="3" t="s">
        <v>173</v>
      </c>
      <c r="B308" s="3" t="e">
        <f t="array" aca="1" ref="B308" ca="1">_xludf.XLOOKUP(A308,duobahlul_videos!$A$1:$A$52,duobahlul_videos!$B$1:$B$52)</f>
        <v>#NAME?</v>
      </c>
      <c r="C308" s="3" t="s">
        <v>896</v>
      </c>
      <c r="D308" s="3">
        <v>71</v>
      </c>
      <c r="E308" s="3" t="s">
        <v>897</v>
      </c>
    </row>
    <row r="309" spans="1:5" ht="13" hidden="1" x14ac:dyDescent="0.15">
      <c r="A309" s="3" t="s">
        <v>173</v>
      </c>
      <c r="B309" s="3" t="e">
        <f t="array" aca="1" ref="B309" ca="1">_xludf.XLOOKUP(A309,duobahlul_videos!$A$1:$A$52,duobahlul_videos!$B$1:$B$52)</f>
        <v>#NAME?</v>
      </c>
      <c r="C309" s="3" t="s">
        <v>898</v>
      </c>
      <c r="D309" s="3">
        <v>12</v>
      </c>
      <c r="E309" s="3" t="s">
        <v>899</v>
      </c>
    </row>
    <row r="310" spans="1:5" ht="13" hidden="1" x14ac:dyDescent="0.15">
      <c r="A310" s="3" t="s">
        <v>173</v>
      </c>
      <c r="B310" s="3" t="e">
        <f t="array" aca="1" ref="B310" ca="1">_xludf.XLOOKUP(A310,duobahlul_videos!$A$1:$A$52,duobahlul_videos!$B$1:$B$52)</f>
        <v>#NAME?</v>
      </c>
      <c r="C310" s="3" t="s">
        <v>900</v>
      </c>
      <c r="D310" s="3">
        <v>34</v>
      </c>
      <c r="E310" s="3" t="s">
        <v>901</v>
      </c>
    </row>
    <row r="311" spans="1:5" ht="13" hidden="1" x14ac:dyDescent="0.15">
      <c r="A311" s="3" t="s">
        <v>173</v>
      </c>
      <c r="B311" s="3" t="e">
        <f t="array" aca="1" ref="B311" ca="1">_xludf.XLOOKUP(A311,duobahlul_videos!$A$1:$A$52,duobahlul_videos!$B$1:$B$52)</f>
        <v>#NAME?</v>
      </c>
      <c r="C311" s="3" t="s">
        <v>902</v>
      </c>
      <c r="D311" s="3">
        <v>119</v>
      </c>
      <c r="E311" s="3" t="s">
        <v>903</v>
      </c>
    </row>
    <row r="312" spans="1:5" ht="13" hidden="1" x14ac:dyDescent="0.15">
      <c r="A312" s="3" t="s">
        <v>173</v>
      </c>
      <c r="B312" s="3" t="e">
        <f t="array" aca="1" ref="B312" ca="1">_xludf.XLOOKUP(A312,duobahlul_videos!$A$1:$A$52,duobahlul_videos!$B$1:$B$52)</f>
        <v>#NAME?</v>
      </c>
      <c r="C312" s="3" t="s">
        <v>904</v>
      </c>
      <c r="D312" s="3">
        <v>10</v>
      </c>
      <c r="E312" s="3" t="s">
        <v>905</v>
      </c>
    </row>
    <row r="313" spans="1:5" ht="13" hidden="1" x14ac:dyDescent="0.15">
      <c r="A313" s="3" t="s">
        <v>173</v>
      </c>
      <c r="B313" s="3" t="e">
        <f t="array" aca="1" ref="B313" ca="1">_xludf.XLOOKUP(A313,duobahlul_videos!$A$1:$A$52,duobahlul_videos!$B$1:$B$52)</f>
        <v>#NAME?</v>
      </c>
      <c r="C313" s="3" t="s">
        <v>906</v>
      </c>
      <c r="D313" s="3">
        <v>30</v>
      </c>
      <c r="E313" s="3" t="s">
        <v>907</v>
      </c>
    </row>
    <row r="314" spans="1:5" ht="13" hidden="1" x14ac:dyDescent="0.15">
      <c r="A314" s="3" t="s">
        <v>173</v>
      </c>
      <c r="B314" s="3" t="e">
        <f t="array" aca="1" ref="B314" ca="1">_xludf.XLOOKUP(A314,duobahlul_videos!$A$1:$A$52,duobahlul_videos!$B$1:$B$52)</f>
        <v>#NAME?</v>
      </c>
      <c r="C314" s="3" t="s">
        <v>908</v>
      </c>
      <c r="D314" s="3">
        <v>62</v>
      </c>
      <c r="E314" s="3" t="s">
        <v>909</v>
      </c>
    </row>
    <row r="315" spans="1:5" ht="13" hidden="1" x14ac:dyDescent="0.15">
      <c r="A315" s="3" t="s">
        <v>173</v>
      </c>
      <c r="B315" s="3" t="e">
        <f t="array" aca="1" ref="B315" ca="1">_xludf.XLOOKUP(A315,duobahlul_videos!$A$1:$A$52,duobahlul_videos!$B$1:$B$52)</f>
        <v>#NAME?</v>
      </c>
      <c r="C315" s="3" t="s">
        <v>910</v>
      </c>
      <c r="D315" s="3">
        <v>68</v>
      </c>
      <c r="E315" s="3" t="s">
        <v>911</v>
      </c>
    </row>
    <row r="316" spans="1:5" ht="13" hidden="1" x14ac:dyDescent="0.15">
      <c r="A316" s="3" t="s">
        <v>173</v>
      </c>
      <c r="B316" s="3" t="e">
        <f t="array" aca="1" ref="B316" ca="1">_xludf.XLOOKUP(A316,duobahlul_videos!$A$1:$A$52,duobahlul_videos!$B$1:$B$52)</f>
        <v>#NAME?</v>
      </c>
      <c r="C316" s="3" t="s">
        <v>912</v>
      </c>
      <c r="D316" s="3">
        <v>40</v>
      </c>
      <c r="E316" s="3" t="s">
        <v>913</v>
      </c>
    </row>
    <row r="317" spans="1:5" ht="13" hidden="1" x14ac:dyDescent="0.15">
      <c r="A317" s="3" t="s">
        <v>173</v>
      </c>
      <c r="B317" s="3" t="e">
        <f t="array" aca="1" ref="B317" ca="1">_xludf.XLOOKUP(A317,duobahlul_videos!$A$1:$A$52,duobahlul_videos!$B$1:$B$52)</f>
        <v>#NAME?</v>
      </c>
      <c r="C317" s="3" t="s">
        <v>914</v>
      </c>
      <c r="D317" s="3">
        <v>29</v>
      </c>
      <c r="E317" s="3" t="s">
        <v>915</v>
      </c>
    </row>
    <row r="318" spans="1:5" ht="13" hidden="1" x14ac:dyDescent="0.15">
      <c r="A318" s="3" t="s">
        <v>173</v>
      </c>
      <c r="B318" s="3" t="e">
        <f t="array" aca="1" ref="B318" ca="1">_xludf.XLOOKUP(A318,duobahlul_videos!$A$1:$A$52,duobahlul_videos!$B$1:$B$52)</f>
        <v>#NAME?</v>
      </c>
      <c r="C318" s="3" t="s">
        <v>916</v>
      </c>
      <c r="D318" s="3">
        <v>13</v>
      </c>
      <c r="E318" s="3" t="s">
        <v>917</v>
      </c>
    </row>
    <row r="319" spans="1:5" ht="13" hidden="1" x14ac:dyDescent="0.15">
      <c r="A319" s="3" t="s">
        <v>173</v>
      </c>
      <c r="B319" s="3" t="e">
        <f t="array" aca="1" ref="B319" ca="1">_xludf.XLOOKUP(A319,duobahlul_videos!$A$1:$A$52,duobahlul_videos!$B$1:$B$52)</f>
        <v>#NAME?</v>
      </c>
      <c r="C319" s="3" t="s">
        <v>918</v>
      </c>
      <c r="D319" s="3">
        <v>28</v>
      </c>
      <c r="E319" s="3" t="s">
        <v>919</v>
      </c>
    </row>
    <row r="320" spans="1:5" ht="13" hidden="1" x14ac:dyDescent="0.15">
      <c r="A320" s="3" t="s">
        <v>173</v>
      </c>
      <c r="B320" s="3" t="e">
        <f t="array" aca="1" ref="B320" ca="1">_xludf.XLOOKUP(A320,duobahlul_videos!$A$1:$A$52,duobahlul_videos!$B$1:$B$52)</f>
        <v>#NAME?</v>
      </c>
      <c r="C320" s="3" t="s">
        <v>920</v>
      </c>
      <c r="D320" s="3">
        <v>216</v>
      </c>
      <c r="E320" s="3" t="s">
        <v>921</v>
      </c>
    </row>
    <row r="321" spans="1:5" ht="13" hidden="1" x14ac:dyDescent="0.15">
      <c r="A321" s="3" t="s">
        <v>173</v>
      </c>
      <c r="B321" s="3" t="e">
        <f t="array" aca="1" ref="B321" ca="1">_xludf.XLOOKUP(A321,duobahlul_videos!$A$1:$A$52,duobahlul_videos!$B$1:$B$52)</f>
        <v>#NAME?</v>
      </c>
      <c r="C321" s="3" t="s">
        <v>922</v>
      </c>
      <c r="D321" s="3">
        <v>23</v>
      </c>
      <c r="E321" s="3" t="s">
        <v>923</v>
      </c>
    </row>
    <row r="322" spans="1:5" ht="13" hidden="1" x14ac:dyDescent="0.15">
      <c r="A322" s="3" t="s">
        <v>340</v>
      </c>
      <c r="B322" s="3" t="e">
        <f t="array" aca="1" ref="B322" ca="1">_xludf.XLOOKUP(A322,duobahlul_videos!$A$1:$A$52,duobahlul_videos!$B$1:$B$52)</f>
        <v>#NAME?</v>
      </c>
      <c r="C322" s="3" t="s">
        <v>924</v>
      </c>
      <c r="D322" s="3">
        <v>83</v>
      </c>
      <c r="E322" s="3" t="s">
        <v>925</v>
      </c>
    </row>
    <row r="323" spans="1:5" ht="13" hidden="1" x14ac:dyDescent="0.15">
      <c r="A323" s="3" t="s">
        <v>340</v>
      </c>
      <c r="B323" s="3" t="e">
        <f t="array" aca="1" ref="B323" ca="1">_xludf.XLOOKUP(A323,duobahlul_videos!$A$1:$A$52,duobahlul_videos!$B$1:$B$52)</f>
        <v>#NAME?</v>
      </c>
      <c r="C323" s="3" t="s">
        <v>926</v>
      </c>
      <c r="D323" s="3">
        <v>29</v>
      </c>
      <c r="E323" s="3" t="s">
        <v>927</v>
      </c>
    </row>
    <row r="324" spans="1:5" ht="13" hidden="1" x14ac:dyDescent="0.15">
      <c r="A324" s="3" t="s">
        <v>340</v>
      </c>
      <c r="B324" s="3" t="e">
        <f t="array" aca="1" ref="B324" ca="1">_xludf.XLOOKUP(A324,duobahlul_videos!$A$1:$A$52,duobahlul_videos!$B$1:$B$52)</f>
        <v>#NAME?</v>
      </c>
      <c r="C324" s="3" t="s">
        <v>928</v>
      </c>
      <c r="D324" s="3">
        <v>11</v>
      </c>
      <c r="E324" s="3" t="s">
        <v>929</v>
      </c>
    </row>
    <row r="325" spans="1:5" ht="13" hidden="1" x14ac:dyDescent="0.15">
      <c r="A325" s="3" t="s">
        <v>340</v>
      </c>
      <c r="B325" s="3" t="e">
        <f t="array" aca="1" ref="B325" ca="1">_xludf.XLOOKUP(A325,duobahlul_videos!$A$1:$A$52,duobahlul_videos!$B$1:$B$52)</f>
        <v>#NAME?</v>
      </c>
      <c r="C325" s="3" t="s">
        <v>930</v>
      </c>
      <c r="D325" s="3">
        <v>21</v>
      </c>
      <c r="E325" s="3" t="s">
        <v>931</v>
      </c>
    </row>
    <row r="326" spans="1:5" ht="13" hidden="1" x14ac:dyDescent="0.15">
      <c r="A326" s="3" t="s">
        <v>340</v>
      </c>
      <c r="B326" s="3" t="e">
        <f t="array" aca="1" ref="B326" ca="1">_xludf.XLOOKUP(A326,duobahlul_videos!$A$1:$A$52,duobahlul_videos!$B$1:$B$52)</f>
        <v>#NAME?</v>
      </c>
      <c r="C326" s="3" t="s">
        <v>932</v>
      </c>
      <c r="D326" s="3">
        <v>5</v>
      </c>
      <c r="E326" s="3" t="s">
        <v>933</v>
      </c>
    </row>
    <row r="327" spans="1:5" ht="13" hidden="1" x14ac:dyDescent="0.15">
      <c r="A327" s="3" t="s">
        <v>340</v>
      </c>
      <c r="B327" s="3" t="e">
        <f t="array" aca="1" ref="B327" ca="1">_xludf.XLOOKUP(A327,duobahlul_videos!$A$1:$A$52,duobahlul_videos!$B$1:$B$52)</f>
        <v>#NAME?</v>
      </c>
      <c r="C327" s="3" t="s">
        <v>934</v>
      </c>
      <c r="D327" s="3">
        <v>3</v>
      </c>
      <c r="E327" s="3" t="s">
        <v>935</v>
      </c>
    </row>
    <row r="328" spans="1:5" ht="13" hidden="1" x14ac:dyDescent="0.15">
      <c r="A328" s="3" t="s">
        <v>340</v>
      </c>
      <c r="B328" s="3" t="e">
        <f t="array" aca="1" ref="B328" ca="1">_xludf.XLOOKUP(A328,duobahlul_videos!$A$1:$A$52,duobahlul_videos!$B$1:$B$52)</f>
        <v>#NAME?</v>
      </c>
      <c r="C328" s="3" t="s">
        <v>936</v>
      </c>
      <c r="D328" s="3">
        <v>8</v>
      </c>
      <c r="E328" s="3" t="s">
        <v>937</v>
      </c>
    </row>
    <row r="329" spans="1:5" ht="13" hidden="1" x14ac:dyDescent="0.15">
      <c r="A329" s="3" t="s">
        <v>340</v>
      </c>
      <c r="B329" s="3" t="e">
        <f t="array" aca="1" ref="B329" ca="1">_xludf.XLOOKUP(A329,duobahlul_videos!$A$1:$A$52,duobahlul_videos!$B$1:$B$52)</f>
        <v>#NAME?</v>
      </c>
      <c r="C329" s="3" t="s">
        <v>938</v>
      </c>
      <c r="D329" s="3">
        <v>7</v>
      </c>
      <c r="E329" s="3" t="s">
        <v>939</v>
      </c>
    </row>
    <row r="330" spans="1:5" ht="13" hidden="1" x14ac:dyDescent="0.15">
      <c r="A330" s="3" t="s">
        <v>340</v>
      </c>
      <c r="B330" s="3" t="e">
        <f t="array" aca="1" ref="B330" ca="1">_xludf.XLOOKUP(A330,duobahlul_videos!$A$1:$A$52,duobahlul_videos!$B$1:$B$52)</f>
        <v>#NAME?</v>
      </c>
      <c r="C330" s="3" t="s">
        <v>940</v>
      </c>
      <c r="D330" s="3">
        <v>9</v>
      </c>
      <c r="E330" s="3" t="s">
        <v>941</v>
      </c>
    </row>
    <row r="331" spans="1:5" ht="13" hidden="1" x14ac:dyDescent="0.15">
      <c r="A331" s="3" t="s">
        <v>340</v>
      </c>
      <c r="B331" s="3" t="e">
        <f t="array" aca="1" ref="B331" ca="1">_xludf.XLOOKUP(A331,duobahlul_videos!$A$1:$A$52,duobahlul_videos!$B$1:$B$52)</f>
        <v>#NAME?</v>
      </c>
      <c r="C331" s="3" t="s">
        <v>942</v>
      </c>
      <c r="D331" s="3">
        <v>29</v>
      </c>
      <c r="E331" s="3" t="s">
        <v>943</v>
      </c>
    </row>
    <row r="332" spans="1:5" ht="13" hidden="1" x14ac:dyDescent="0.15">
      <c r="A332" s="3" t="s">
        <v>340</v>
      </c>
      <c r="B332" s="3" t="e">
        <f t="array" aca="1" ref="B332" ca="1">_xludf.XLOOKUP(A332,duobahlul_videos!$A$1:$A$52,duobahlul_videos!$B$1:$B$52)</f>
        <v>#NAME?</v>
      </c>
      <c r="C332" s="3" t="s">
        <v>944</v>
      </c>
      <c r="D332" s="3">
        <v>19</v>
      </c>
      <c r="E332" s="3" t="s">
        <v>945</v>
      </c>
    </row>
    <row r="333" spans="1:5" ht="13" hidden="1" x14ac:dyDescent="0.15">
      <c r="A333" s="3" t="s">
        <v>340</v>
      </c>
      <c r="B333" s="3" t="e">
        <f t="array" aca="1" ref="B333" ca="1">_xludf.XLOOKUP(A333,duobahlul_videos!$A$1:$A$52,duobahlul_videos!$B$1:$B$52)</f>
        <v>#NAME?</v>
      </c>
      <c r="C333" s="3" t="s">
        <v>946</v>
      </c>
      <c r="D333" s="3">
        <v>15</v>
      </c>
      <c r="E333" s="3" t="s">
        <v>947</v>
      </c>
    </row>
    <row r="334" spans="1:5" ht="13" hidden="1" x14ac:dyDescent="0.15">
      <c r="A334" s="3" t="s">
        <v>340</v>
      </c>
      <c r="B334" s="3" t="e">
        <f t="array" aca="1" ref="B334" ca="1">_xludf.XLOOKUP(A334,duobahlul_videos!$A$1:$A$52,duobahlul_videos!$B$1:$B$52)</f>
        <v>#NAME?</v>
      </c>
      <c r="C334" s="3" t="s">
        <v>948</v>
      </c>
      <c r="D334" s="3">
        <v>32</v>
      </c>
      <c r="E334" s="3" t="s">
        <v>949</v>
      </c>
    </row>
    <row r="335" spans="1:5" ht="13" hidden="1" x14ac:dyDescent="0.15">
      <c r="A335" s="3" t="s">
        <v>340</v>
      </c>
      <c r="B335" s="3" t="e">
        <f t="array" aca="1" ref="B335" ca="1">_xludf.XLOOKUP(A335,duobahlul_videos!$A$1:$A$52,duobahlul_videos!$B$1:$B$52)</f>
        <v>#NAME?</v>
      </c>
      <c r="C335" s="3" t="s">
        <v>950</v>
      </c>
      <c r="D335" s="3">
        <v>7</v>
      </c>
      <c r="E335" s="3" t="s">
        <v>951</v>
      </c>
    </row>
    <row r="336" spans="1:5" ht="13" hidden="1" x14ac:dyDescent="0.15">
      <c r="A336" s="3" t="s">
        <v>340</v>
      </c>
      <c r="B336" s="3" t="e">
        <f t="array" aca="1" ref="B336" ca="1">_xludf.XLOOKUP(A336,duobahlul_videos!$A$1:$A$52,duobahlul_videos!$B$1:$B$52)</f>
        <v>#NAME?</v>
      </c>
      <c r="C336" s="3" t="s">
        <v>952</v>
      </c>
      <c r="D336" s="3">
        <v>21</v>
      </c>
      <c r="E336" s="3" t="s">
        <v>953</v>
      </c>
    </row>
    <row r="337" spans="1:5" ht="13" hidden="1" x14ac:dyDescent="0.15">
      <c r="A337" s="3" t="s">
        <v>340</v>
      </c>
      <c r="B337" s="3" t="e">
        <f t="array" aca="1" ref="B337" ca="1">_xludf.XLOOKUP(A337,duobahlul_videos!$A$1:$A$52,duobahlul_videos!$B$1:$B$52)</f>
        <v>#NAME?</v>
      </c>
      <c r="C337" s="3" t="s">
        <v>954</v>
      </c>
      <c r="D337" s="3">
        <v>2</v>
      </c>
      <c r="E337" s="3" t="s">
        <v>955</v>
      </c>
    </row>
    <row r="338" spans="1:5" ht="13" hidden="1" x14ac:dyDescent="0.15">
      <c r="A338" s="3" t="s">
        <v>340</v>
      </c>
      <c r="B338" s="3" t="e">
        <f t="array" aca="1" ref="B338" ca="1">_xludf.XLOOKUP(A338,duobahlul_videos!$A$1:$A$52,duobahlul_videos!$B$1:$B$52)</f>
        <v>#NAME?</v>
      </c>
      <c r="C338" s="3" t="s">
        <v>956</v>
      </c>
      <c r="D338" s="3">
        <v>33</v>
      </c>
      <c r="E338" s="3" t="s">
        <v>957</v>
      </c>
    </row>
    <row r="339" spans="1:5" ht="13" hidden="1" x14ac:dyDescent="0.15">
      <c r="A339" s="3" t="s">
        <v>340</v>
      </c>
      <c r="B339" s="3" t="e">
        <f t="array" aca="1" ref="B339" ca="1">_xludf.XLOOKUP(A339,duobahlul_videos!$A$1:$A$52,duobahlul_videos!$B$1:$B$52)</f>
        <v>#NAME?</v>
      </c>
      <c r="C339" s="3" t="s">
        <v>958</v>
      </c>
      <c r="D339" s="3">
        <v>7</v>
      </c>
      <c r="E339" s="3" t="s">
        <v>959</v>
      </c>
    </row>
    <row r="340" spans="1:5" ht="13" hidden="1" x14ac:dyDescent="0.15">
      <c r="A340" s="3" t="s">
        <v>340</v>
      </c>
      <c r="B340" s="3" t="e">
        <f t="array" aca="1" ref="B340" ca="1">_xludf.XLOOKUP(A340,duobahlul_videos!$A$1:$A$52,duobahlul_videos!$B$1:$B$52)</f>
        <v>#NAME?</v>
      </c>
      <c r="C340" s="3" t="s">
        <v>960</v>
      </c>
      <c r="D340" s="3">
        <v>8</v>
      </c>
      <c r="E340" s="3" t="s">
        <v>961</v>
      </c>
    </row>
    <row r="341" spans="1:5" ht="13" hidden="1" x14ac:dyDescent="0.15">
      <c r="A341" s="3" t="s">
        <v>340</v>
      </c>
      <c r="B341" s="3" t="e">
        <f t="array" aca="1" ref="B341" ca="1">_xludf.XLOOKUP(A341,duobahlul_videos!$A$1:$A$52,duobahlul_videos!$B$1:$B$52)</f>
        <v>#NAME?</v>
      </c>
      <c r="C341" s="3" t="s">
        <v>962</v>
      </c>
      <c r="D341" s="3">
        <v>12</v>
      </c>
      <c r="E341" s="3" t="s">
        <v>963</v>
      </c>
    </row>
    <row r="342" spans="1:5" ht="13" hidden="1" x14ac:dyDescent="0.15">
      <c r="A342" s="3" t="s">
        <v>88</v>
      </c>
      <c r="B342" s="3" t="e">
        <f t="array" aca="1" ref="B342" ca="1">_xludf.XLOOKUP(A342,duobahlul_videos!$A$1:$A$52,duobahlul_videos!$B$1:$B$52)</f>
        <v>#NAME?</v>
      </c>
      <c r="C342" s="3" t="s">
        <v>964</v>
      </c>
      <c r="D342" s="3">
        <v>459</v>
      </c>
      <c r="E342" s="3" t="s">
        <v>965</v>
      </c>
    </row>
    <row r="343" spans="1:5" ht="13" hidden="1" x14ac:dyDescent="0.15">
      <c r="A343" s="3" t="s">
        <v>88</v>
      </c>
      <c r="B343" s="3" t="e">
        <f t="array" aca="1" ref="B343" ca="1">_xludf.XLOOKUP(A343,duobahlul_videos!$A$1:$A$52,duobahlul_videos!$B$1:$B$52)</f>
        <v>#NAME?</v>
      </c>
      <c r="C343" s="3" t="s">
        <v>966</v>
      </c>
      <c r="D343" s="3">
        <v>481</v>
      </c>
      <c r="E343" s="3" t="s">
        <v>967</v>
      </c>
    </row>
    <row r="344" spans="1:5" ht="13" hidden="1" x14ac:dyDescent="0.15">
      <c r="A344" s="3" t="s">
        <v>88</v>
      </c>
      <c r="B344" s="3" t="e">
        <f t="array" aca="1" ref="B344" ca="1">_xludf.XLOOKUP(A344,duobahlul_videos!$A$1:$A$52,duobahlul_videos!$B$1:$B$52)</f>
        <v>#NAME?</v>
      </c>
      <c r="C344" s="3" t="s">
        <v>968</v>
      </c>
      <c r="D344" s="3">
        <v>297</v>
      </c>
      <c r="E344" s="3" t="s">
        <v>969</v>
      </c>
    </row>
    <row r="345" spans="1:5" ht="13" hidden="1" x14ac:dyDescent="0.15">
      <c r="A345" s="3" t="s">
        <v>88</v>
      </c>
      <c r="B345" s="3" t="e">
        <f t="array" aca="1" ref="B345" ca="1">_xludf.XLOOKUP(A345,duobahlul_videos!$A$1:$A$52,duobahlul_videos!$B$1:$B$52)</f>
        <v>#NAME?</v>
      </c>
      <c r="C345" s="3" t="s">
        <v>970</v>
      </c>
      <c r="D345" s="3">
        <v>164</v>
      </c>
      <c r="E345" s="3" t="s">
        <v>971</v>
      </c>
    </row>
    <row r="346" spans="1:5" ht="13" hidden="1" x14ac:dyDescent="0.15">
      <c r="A346" s="3" t="s">
        <v>88</v>
      </c>
      <c r="B346" s="3" t="e">
        <f t="array" aca="1" ref="B346" ca="1">_xludf.XLOOKUP(A346,duobahlul_videos!$A$1:$A$52,duobahlul_videos!$B$1:$B$52)</f>
        <v>#NAME?</v>
      </c>
      <c r="C346" s="3" t="s">
        <v>972</v>
      </c>
      <c r="D346" s="3">
        <v>405</v>
      </c>
      <c r="E346" s="3" t="s">
        <v>973</v>
      </c>
    </row>
    <row r="347" spans="1:5" ht="13" hidden="1" x14ac:dyDescent="0.15">
      <c r="A347" s="3" t="s">
        <v>88</v>
      </c>
      <c r="B347" s="3" t="e">
        <f t="array" aca="1" ref="B347" ca="1">_xludf.XLOOKUP(A347,duobahlul_videos!$A$1:$A$52,duobahlul_videos!$B$1:$B$52)</f>
        <v>#NAME?</v>
      </c>
      <c r="C347" s="3" t="s">
        <v>974</v>
      </c>
      <c r="D347" s="3">
        <v>79</v>
      </c>
      <c r="E347" s="3" t="s">
        <v>975</v>
      </c>
    </row>
    <row r="348" spans="1:5" ht="13" hidden="1" x14ac:dyDescent="0.15">
      <c r="A348" s="3" t="s">
        <v>88</v>
      </c>
      <c r="B348" s="3" t="e">
        <f t="array" aca="1" ref="B348" ca="1">_xludf.XLOOKUP(A348,duobahlul_videos!$A$1:$A$52,duobahlul_videos!$B$1:$B$52)</f>
        <v>#NAME?</v>
      </c>
      <c r="C348" s="3" t="s">
        <v>976</v>
      </c>
      <c r="D348" s="3">
        <v>176</v>
      </c>
      <c r="E348" s="3" t="s">
        <v>977</v>
      </c>
    </row>
    <row r="349" spans="1:5" ht="13" hidden="1" x14ac:dyDescent="0.15">
      <c r="A349" s="3" t="s">
        <v>88</v>
      </c>
      <c r="B349" s="3" t="e">
        <f t="array" aca="1" ref="B349" ca="1">_xludf.XLOOKUP(A349,duobahlul_videos!$A$1:$A$52,duobahlul_videos!$B$1:$B$52)</f>
        <v>#NAME?</v>
      </c>
      <c r="C349" s="3" t="s">
        <v>978</v>
      </c>
      <c r="D349" s="3">
        <v>91</v>
      </c>
      <c r="E349" s="3" t="s">
        <v>979</v>
      </c>
    </row>
    <row r="350" spans="1:5" ht="13" hidden="1" x14ac:dyDescent="0.15">
      <c r="A350" s="3" t="s">
        <v>88</v>
      </c>
      <c r="B350" s="3" t="e">
        <f t="array" aca="1" ref="B350" ca="1">_xludf.XLOOKUP(A350,duobahlul_videos!$A$1:$A$52,duobahlul_videos!$B$1:$B$52)</f>
        <v>#NAME?</v>
      </c>
      <c r="C350" s="3" t="s">
        <v>980</v>
      </c>
      <c r="D350" s="3">
        <v>246</v>
      </c>
      <c r="E350" s="3" t="s">
        <v>981</v>
      </c>
    </row>
    <row r="351" spans="1:5" ht="13" hidden="1" x14ac:dyDescent="0.15">
      <c r="A351" s="3" t="s">
        <v>88</v>
      </c>
      <c r="B351" s="3" t="e">
        <f t="array" aca="1" ref="B351" ca="1">_xludf.XLOOKUP(A351,duobahlul_videos!$A$1:$A$52,duobahlul_videos!$B$1:$B$52)</f>
        <v>#NAME?</v>
      </c>
      <c r="C351" s="3" t="s">
        <v>982</v>
      </c>
      <c r="D351" s="3">
        <v>58</v>
      </c>
      <c r="E351" s="3" t="s">
        <v>983</v>
      </c>
    </row>
    <row r="352" spans="1:5" ht="13" hidden="1" x14ac:dyDescent="0.15">
      <c r="A352" s="3" t="s">
        <v>88</v>
      </c>
      <c r="B352" s="3" t="e">
        <f t="array" aca="1" ref="B352" ca="1">_xludf.XLOOKUP(A352,duobahlul_videos!$A$1:$A$52,duobahlul_videos!$B$1:$B$52)</f>
        <v>#NAME?</v>
      </c>
      <c r="C352" s="3" t="s">
        <v>984</v>
      </c>
      <c r="D352" s="3">
        <v>64</v>
      </c>
      <c r="E352" s="3" t="s">
        <v>985</v>
      </c>
    </row>
    <row r="353" spans="1:5" ht="13" hidden="1" x14ac:dyDescent="0.15">
      <c r="A353" s="3" t="s">
        <v>88</v>
      </c>
      <c r="B353" s="3" t="e">
        <f t="array" aca="1" ref="B353" ca="1">_xludf.XLOOKUP(A353,duobahlul_videos!$A$1:$A$52,duobahlul_videos!$B$1:$B$52)</f>
        <v>#NAME?</v>
      </c>
      <c r="C353" s="3" t="s">
        <v>986</v>
      </c>
      <c r="D353" s="3">
        <v>52</v>
      </c>
      <c r="E353" s="3" t="s">
        <v>987</v>
      </c>
    </row>
    <row r="354" spans="1:5" ht="13" hidden="1" x14ac:dyDescent="0.15">
      <c r="A354" s="3" t="s">
        <v>88</v>
      </c>
      <c r="B354" s="3" t="e">
        <f t="array" aca="1" ref="B354" ca="1">_xludf.XLOOKUP(A354,duobahlul_videos!$A$1:$A$52,duobahlul_videos!$B$1:$B$52)</f>
        <v>#NAME?</v>
      </c>
      <c r="C354" s="3" t="s">
        <v>988</v>
      </c>
      <c r="D354" s="3">
        <v>35</v>
      </c>
      <c r="E354" s="3" t="s">
        <v>989</v>
      </c>
    </row>
    <row r="355" spans="1:5" ht="13" hidden="1" x14ac:dyDescent="0.15">
      <c r="A355" s="3" t="s">
        <v>88</v>
      </c>
      <c r="B355" s="3" t="e">
        <f t="array" aca="1" ref="B355" ca="1">_xludf.XLOOKUP(A355,duobahlul_videos!$A$1:$A$52,duobahlul_videos!$B$1:$B$52)</f>
        <v>#NAME?</v>
      </c>
      <c r="C355" s="3" t="s">
        <v>990</v>
      </c>
      <c r="D355" s="3">
        <v>53</v>
      </c>
      <c r="E355" s="3" t="s">
        <v>991</v>
      </c>
    </row>
    <row r="356" spans="1:5" ht="13" hidden="1" x14ac:dyDescent="0.15">
      <c r="A356" s="3" t="s">
        <v>88</v>
      </c>
      <c r="B356" s="3" t="e">
        <f t="array" aca="1" ref="B356" ca="1">_xludf.XLOOKUP(A356,duobahlul_videos!$A$1:$A$52,duobahlul_videos!$B$1:$B$52)</f>
        <v>#NAME?</v>
      </c>
      <c r="C356" s="3" t="s">
        <v>992</v>
      </c>
      <c r="D356" s="3">
        <v>60</v>
      </c>
      <c r="E356" s="3" t="s">
        <v>993</v>
      </c>
    </row>
    <row r="357" spans="1:5" ht="13" hidden="1" x14ac:dyDescent="0.15">
      <c r="A357" s="3" t="s">
        <v>88</v>
      </c>
      <c r="B357" s="3" t="e">
        <f t="array" aca="1" ref="B357" ca="1">_xludf.XLOOKUP(A357,duobahlul_videos!$A$1:$A$52,duobahlul_videos!$B$1:$B$52)</f>
        <v>#NAME?</v>
      </c>
      <c r="C357" s="3" t="s">
        <v>994</v>
      </c>
      <c r="D357" s="3">
        <v>86</v>
      </c>
      <c r="E357" s="3" t="s">
        <v>995</v>
      </c>
    </row>
    <row r="358" spans="1:5" ht="13" hidden="1" x14ac:dyDescent="0.15">
      <c r="A358" s="3" t="s">
        <v>88</v>
      </c>
      <c r="B358" s="3" t="e">
        <f t="array" aca="1" ref="B358" ca="1">_xludf.XLOOKUP(A358,duobahlul_videos!$A$1:$A$52,duobahlul_videos!$B$1:$B$52)</f>
        <v>#NAME?</v>
      </c>
      <c r="C358" s="3" t="s">
        <v>996</v>
      </c>
      <c r="D358" s="3">
        <v>100</v>
      </c>
      <c r="E358" s="3" t="s">
        <v>997</v>
      </c>
    </row>
    <row r="359" spans="1:5" ht="13" hidden="1" x14ac:dyDescent="0.15">
      <c r="A359" s="3" t="s">
        <v>88</v>
      </c>
      <c r="B359" s="3" t="e">
        <f t="array" aca="1" ref="B359" ca="1">_xludf.XLOOKUP(A359,duobahlul_videos!$A$1:$A$52,duobahlul_videos!$B$1:$B$52)</f>
        <v>#NAME?</v>
      </c>
      <c r="C359" s="3" t="s">
        <v>998</v>
      </c>
      <c r="D359" s="3">
        <v>41</v>
      </c>
      <c r="E359" s="3" t="s">
        <v>999</v>
      </c>
    </row>
    <row r="360" spans="1:5" ht="13" hidden="1" x14ac:dyDescent="0.15">
      <c r="A360" s="3" t="s">
        <v>88</v>
      </c>
      <c r="B360" s="3" t="e">
        <f t="array" aca="1" ref="B360" ca="1">_xludf.XLOOKUP(A360,duobahlul_videos!$A$1:$A$52,duobahlul_videos!$B$1:$B$52)</f>
        <v>#NAME?</v>
      </c>
      <c r="C360" s="3" t="s">
        <v>1000</v>
      </c>
      <c r="D360" s="3">
        <v>19</v>
      </c>
      <c r="E360" s="3" t="s">
        <v>1001</v>
      </c>
    </row>
    <row r="361" spans="1:5" ht="13" hidden="1" x14ac:dyDescent="0.15">
      <c r="A361" s="3" t="s">
        <v>88</v>
      </c>
      <c r="B361" s="3" t="e">
        <f t="array" aca="1" ref="B361" ca="1">_xludf.XLOOKUP(A361,duobahlul_videos!$A$1:$A$52,duobahlul_videos!$B$1:$B$52)</f>
        <v>#NAME?</v>
      </c>
      <c r="C361" s="3" t="s">
        <v>1002</v>
      </c>
      <c r="D361" s="3">
        <v>22</v>
      </c>
      <c r="E361" s="3" t="s">
        <v>1003</v>
      </c>
    </row>
    <row r="362" spans="1:5" ht="13" hidden="1" x14ac:dyDescent="0.15">
      <c r="A362" s="3" t="s">
        <v>258</v>
      </c>
      <c r="B362" s="3" t="e">
        <f t="array" aca="1" ref="B362" ca="1">_xludf.XLOOKUP(A362,duobahlul_videos!$A$1:$A$52,duobahlul_videos!$B$1:$B$52)</f>
        <v>#NAME?</v>
      </c>
      <c r="C362" s="3" t="s">
        <v>1004</v>
      </c>
      <c r="D362" s="3">
        <v>46</v>
      </c>
      <c r="E362" s="3" t="s">
        <v>1005</v>
      </c>
    </row>
    <row r="363" spans="1:5" ht="13" hidden="1" x14ac:dyDescent="0.15">
      <c r="A363" s="3" t="s">
        <v>258</v>
      </c>
      <c r="B363" s="3" t="e">
        <f t="array" aca="1" ref="B363" ca="1">_xludf.XLOOKUP(A363,duobahlul_videos!$A$1:$A$52,duobahlul_videos!$B$1:$B$52)</f>
        <v>#NAME?</v>
      </c>
      <c r="C363" s="3" t="s">
        <v>1006</v>
      </c>
      <c r="D363" s="3">
        <v>46</v>
      </c>
      <c r="E363" s="3" t="s">
        <v>1007</v>
      </c>
    </row>
    <row r="364" spans="1:5" ht="13" hidden="1" x14ac:dyDescent="0.15">
      <c r="A364" s="3" t="s">
        <v>258</v>
      </c>
      <c r="B364" s="3" t="e">
        <f t="array" aca="1" ref="B364" ca="1">_xludf.XLOOKUP(A364,duobahlul_videos!$A$1:$A$52,duobahlul_videos!$B$1:$B$52)</f>
        <v>#NAME?</v>
      </c>
      <c r="C364" s="3" t="s">
        <v>1008</v>
      </c>
      <c r="D364" s="3">
        <v>21</v>
      </c>
      <c r="E364" s="3" t="s">
        <v>1009</v>
      </c>
    </row>
    <row r="365" spans="1:5" ht="13" hidden="1" x14ac:dyDescent="0.15">
      <c r="A365" s="3" t="s">
        <v>258</v>
      </c>
      <c r="B365" s="3" t="e">
        <f t="array" aca="1" ref="B365" ca="1">_xludf.XLOOKUP(A365,duobahlul_videos!$A$1:$A$52,duobahlul_videos!$B$1:$B$52)</f>
        <v>#NAME?</v>
      </c>
      <c r="C365" s="3" t="s">
        <v>1010</v>
      </c>
      <c r="D365" s="3">
        <v>13</v>
      </c>
      <c r="E365" s="3" t="s">
        <v>1011</v>
      </c>
    </row>
    <row r="366" spans="1:5" ht="13" hidden="1" x14ac:dyDescent="0.15">
      <c r="A366" s="3" t="s">
        <v>258</v>
      </c>
      <c r="B366" s="3" t="e">
        <f t="array" aca="1" ref="B366" ca="1">_xludf.XLOOKUP(A366,duobahlul_videos!$A$1:$A$52,duobahlul_videos!$B$1:$B$52)</f>
        <v>#NAME?</v>
      </c>
      <c r="C366" s="3" t="s">
        <v>1012</v>
      </c>
      <c r="D366" s="3">
        <v>3</v>
      </c>
      <c r="E366" s="3" t="s">
        <v>1013</v>
      </c>
    </row>
    <row r="367" spans="1:5" ht="13" hidden="1" x14ac:dyDescent="0.15">
      <c r="A367" s="3" t="s">
        <v>258</v>
      </c>
      <c r="B367" s="3" t="e">
        <f t="array" aca="1" ref="B367" ca="1">_xludf.XLOOKUP(A367,duobahlul_videos!$A$1:$A$52,duobahlul_videos!$B$1:$B$52)</f>
        <v>#NAME?</v>
      </c>
      <c r="C367" s="3" t="s">
        <v>1014</v>
      </c>
      <c r="D367" s="3">
        <v>22</v>
      </c>
      <c r="E367" s="3" t="s">
        <v>1015</v>
      </c>
    </row>
    <row r="368" spans="1:5" ht="13" hidden="1" x14ac:dyDescent="0.15">
      <c r="A368" s="3" t="s">
        <v>258</v>
      </c>
      <c r="B368" s="3" t="e">
        <f t="array" aca="1" ref="B368" ca="1">_xludf.XLOOKUP(A368,duobahlul_videos!$A$1:$A$52,duobahlul_videos!$B$1:$B$52)</f>
        <v>#NAME?</v>
      </c>
      <c r="C368" s="3" t="s">
        <v>1016</v>
      </c>
      <c r="D368" s="3">
        <v>13</v>
      </c>
      <c r="E368" s="3" t="s">
        <v>1017</v>
      </c>
    </row>
    <row r="369" spans="1:5" ht="13" hidden="1" x14ac:dyDescent="0.15">
      <c r="A369" s="3" t="s">
        <v>258</v>
      </c>
      <c r="B369" s="3" t="e">
        <f t="array" aca="1" ref="B369" ca="1">_xludf.XLOOKUP(A369,duobahlul_videos!$A$1:$A$52,duobahlul_videos!$B$1:$B$52)</f>
        <v>#NAME?</v>
      </c>
      <c r="C369" s="3" t="s">
        <v>1018</v>
      </c>
      <c r="D369" s="3">
        <v>39</v>
      </c>
      <c r="E369" s="3" t="s">
        <v>1019</v>
      </c>
    </row>
    <row r="370" spans="1:5" ht="13" hidden="1" x14ac:dyDescent="0.15">
      <c r="A370" s="3" t="s">
        <v>258</v>
      </c>
      <c r="B370" s="3" t="e">
        <f t="array" aca="1" ref="B370" ca="1">_xludf.XLOOKUP(A370,duobahlul_videos!$A$1:$A$52,duobahlul_videos!$B$1:$B$52)</f>
        <v>#NAME?</v>
      </c>
      <c r="C370" s="3" t="s">
        <v>1020</v>
      </c>
      <c r="D370" s="3">
        <v>6</v>
      </c>
      <c r="E370" s="3" t="s">
        <v>1021</v>
      </c>
    </row>
    <row r="371" spans="1:5" ht="13" hidden="1" x14ac:dyDescent="0.15">
      <c r="A371" s="3" t="s">
        <v>258</v>
      </c>
      <c r="B371" s="3" t="e">
        <f t="array" aca="1" ref="B371" ca="1">_xludf.XLOOKUP(A371,duobahlul_videos!$A$1:$A$52,duobahlul_videos!$B$1:$B$52)</f>
        <v>#NAME?</v>
      </c>
      <c r="C371" s="3" t="s">
        <v>1022</v>
      </c>
      <c r="D371" s="3">
        <v>7</v>
      </c>
      <c r="E371" s="3" t="s">
        <v>1023</v>
      </c>
    </row>
    <row r="372" spans="1:5" ht="13" hidden="1" x14ac:dyDescent="0.15">
      <c r="A372" s="3" t="s">
        <v>258</v>
      </c>
      <c r="B372" s="3" t="e">
        <f t="array" aca="1" ref="B372" ca="1">_xludf.XLOOKUP(A372,duobahlul_videos!$A$1:$A$52,duobahlul_videos!$B$1:$B$52)</f>
        <v>#NAME?</v>
      </c>
      <c r="C372" s="3" t="s">
        <v>1024</v>
      </c>
      <c r="D372" s="3">
        <v>8</v>
      </c>
      <c r="E372" s="3" t="s">
        <v>1025</v>
      </c>
    </row>
    <row r="373" spans="1:5" ht="13" hidden="1" x14ac:dyDescent="0.15">
      <c r="A373" s="3" t="s">
        <v>258</v>
      </c>
      <c r="B373" s="3" t="e">
        <f t="array" aca="1" ref="B373" ca="1">_xludf.XLOOKUP(A373,duobahlul_videos!$A$1:$A$52,duobahlul_videos!$B$1:$B$52)</f>
        <v>#NAME?</v>
      </c>
      <c r="C373" s="3" t="s">
        <v>1026</v>
      </c>
      <c r="D373" s="3">
        <v>70</v>
      </c>
      <c r="E373" s="3" t="s">
        <v>1027</v>
      </c>
    </row>
    <row r="374" spans="1:5" ht="13" hidden="1" x14ac:dyDescent="0.15">
      <c r="A374" s="3" t="s">
        <v>258</v>
      </c>
      <c r="B374" s="3" t="e">
        <f t="array" aca="1" ref="B374" ca="1">_xludf.XLOOKUP(A374,duobahlul_videos!$A$1:$A$52,duobahlul_videos!$B$1:$B$52)</f>
        <v>#NAME?</v>
      </c>
      <c r="C374" s="3" t="s">
        <v>1028</v>
      </c>
      <c r="D374" s="3">
        <v>7</v>
      </c>
      <c r="E374" s="3" t="s">
        <v>1029</v>
      </c>
    </row>
    <row r="375" spans="1:5" ht="13" hidden="1" x14ac:dyDescent="0.15">
      <c r="A375" s="3" t="s">
        <v>258</v>
      </c>
      <c r="B375" s="3" t="e">
        <f t="array" aca="1" ref="B375" ca="1">_xludf.XLOOKUP(A375,duobahlul_videos!$A$1:$A$52,duobahlul_videos!$B$1:$B$52)</f>
        <v>#NAME?</v>
      </c>
      <c r="C375" s="3" t="s">
        <v>1030</v>
      </c>
      <c r="D375" s="3">
        <v>12</v>
      </c>
      <c r="E375" s="3" t="s">
        <v>1031</v>
      </c>
    </row>
    <row r="376" spans="1:5" ht="13" hidden="1" x14ac:dyDescent="0.15">
      <c r="A376" s="3" t="s">
        <v>258</v>
      </c>
      <c r="B376" s="3" t="e">
        <f t="array" aca="1" ref="B376" ca="1">_xludf.XLOOKUP(A376,duobahlul_videos!$A$1:$A$52,duobahlul_videos!$B$1:$B$52)</f>
        <v>#NAME?</v>
      </c>
      <c r="C376" s="3" t="s">
        <v>1032</v>
      </c>
      <c r="D376" s="3">
        <v>7</v>
      </c>
      <c r="E376" s="3" t="s">
        <v>1033</v>
      </c>
    </row>
    <row r="377" spans="1:5" ht="13" hidden="1" x14ac:dyDescent="0.15">
      <c r="A377" s="3" t="s">
        <v>258</v>
      </c>
      <c r="B377" s="3" t="e">
        <f t="array" aca="1" ref="B377" ca="1">_xludf.XLOOKUP(A377,duobahlul_videos!$A$1:$A$52,duobahlul_videos!$B$1:$B$52)</f>
        <v>#NAME?</v>
      </c>
      <c r="C377" s="3" t="s">
        <v>1034</v>
      </c>
      <c r="D377" s="3">
        <v>8</v>
      </c>
      <c r="E377" s="3" t="s">
        <v>1035</v>
      </c>
    </row>
    <row r="378" spans="1:5" ht="13" hidden="1" x14ac:dyDescent="0.15">
      <c r="A378" s="3" t="s">
        <v>258</v>
      </c>
      <c r="B378" s="3" t="e">
        <f t="array" aca="1" ref="B378" ca="1">_xludf.XLOOKUP(A378,duobahlul_videos!$A$1:$A$52,duobahlul_videos!$B$1:$B$52)</f>
        <v>#NAME?</v>
      </c>
      <c r="C378" s="3" t="s">
        <v>1036</v>
      </c>
      <c r="D378" s="3">
        <v>12</v>
      </c>
      <c r="E378" s="3" t="s">
        <v>1037</v>
      </c>
    </row>
    <row r="379" spans="1:5" ht="13" hidden="1" x14ac:dyDescent="0.15">
      <c r="A379" s="3" t="s">
        <v>258</v>
      </c>
      <c r="B379" s="3" t="e">
        <f t="array" aca="1" ref="B379" ca="1">_xludf.XLOOKUP(A379,duobahlul_videos!$A$1:$A$52,duobahlul_videos!$B$1:$B$52)</f>
        <v>#NAME?</v>
      </c>
      <c r="C379" s="3" t="s">
        <v>1038</v>
      </c>
      <c r="D379" s="3">
        <v>11</v>
      </c>
      <c r="E379" s="3" t="s">
        <v>1039</v>
      </c>
    </row>
    <row r="380" spans="1:5" ht="13" hidden="1" x14ac:dyDescent="0.15">
      <c r="A380" s="3" t="s">
        <v>258</v>
      </c>
      <c r="B380" s="3" t="e">
        <f t="array" aca="1" ref="B380" ca="1">_xludf.XLOOKUP(A380,duobahlul_videos!$A$1:$A$52,duobahlul_videos!$B$1:$B$52)</f>
        <v>#NAME?</v>
      </c>
      <c r="C380" s="3" t="s">
        <v>1040</v>
      </c>
      <c r="D380" s="3">
        <v>13</v>
      </c>
      <c r="E380" s="3" t="s">
        <v>1041</v>
      </c>
    </row>
    <row r="381" spans="1:5" ht="13" hidden="1" x14ac:dyDescent="0.15">
      <c r="A381" s="3" t="s">
        <v>258</v>
      </c>
      <c r="B381" s="3" t="e">
        <f t="array" aca="1" ref="B381" ca="1">_xludf.XLOOKUP(A381,duobahlul_videos!$A$1:$A$52,duobahlul_videos!$B$1:$B$52)</f>
        <v>#NAME?</v>
      </c>
      <c r="C381" s="3" t="s">
        <v>1042</v>
      </c>
      <c r="D381" s="3">
        <v>2</v>
      </c>
      <c r="E381" s="3" t="s">
        <v>1043</v>
      </c>
    </row>
    <row r="382" spans="1:5" ht="13" hidden="1" x14ac:dyDescent="0.15">
      <c r="A382" s="3" t="s">
        <v>188</v>
      </c>
      <c r="B382" s="3" t="e">
        <f t="array" aca="1" ref="B382" ca="1">_xludf.XLOOKUP(A382,duobahlul_videos!$A$1:$A$52,duobahlul_videos!$B$1:$B$52)</f>
        <v>#NAME?</v>
      </c>
      <c r="C382" s="3" t="s">
        <v>1044</v>
      </c>
      <c r="D382" s="3">
        <v>91</v>
      </c>
      <c r="E382" s="3" t="s">
        <v>1045</v>
      </c>
    </row>
    <row r="383" spans="1:5" ht="13" hidden="1" x14ac:dyDescent="0.15">
      <c r="A383" s="3" t="s">
        <v>188</v>
      </c>
      <c r="B383" s="3" t="e">
        <f t="array" aca="1" ref="B383" ca="1">_xludf.XLOOKUP(A383,duobahlul_videos!$A$1:$A$52,duobahlul_videos!$B$1:$B$52)</f>
        <v>#NAME?</v>
      </c>
      <c r="C383" s="3" t="s">
        <v>1046</v>
      </c>
      <c r="D383" s="3">
        <v>55</v>
      </c>
      <c r="E383" s="3" t="s">
        <v>1047</v>
      </c>
    </row>
    <row r="384" spans="1:5" ht="13" hidden="1" x14ac:dyDescent="0.15">
      <c r="A384" s="3" t="s">
        <v>188</v>
      </c>
      <c r="B384" s="3" t="e">
        <f t="array" aca="1" ref="B384" ca="1">_xludf.XLOOKUP(A384,duobahlul_videos!$A$1:$A$52,duobahlul_videos!$B$1:$B$52)</f>
        <v>#NAME?</v>
      </c>
      <c r="C384" s="3" t="s">
        <v>1048</v>
      </c>
      <c r="D384" s="3">
        <v>37</v>
      </c>
      <c r="E384" s="3" t="s">
        <v>1049</v>
      </c>
    </row>
    <row r="385" spans="1:5" ht="13" hidden="1" x14ac:dyDescent="0.15">
      <c r="A385" s="3" t="s">
        <v>188</v>
      </c>
      <c r="B385" s="3" t="e">
        <f t="array" aca="1" ref="B385" ca="1">_xludf.XLOOKUP(A385,duobahlul_videos!$A$1:$A$52,duobahlul_videos!$B$1:$B$52)</f>
        <v>#NAME?</v>
      </c>
      <c r="C385" s="3" t="s">
        <v>1050</v>
      </c>
      <c r="D385" s="3">
        <v>64</v>
      </c>
      <c r="E385" s="3" t="s">
        <v>1051</v>
      </c>
    </row>
    <row r="386" spans="1:5" ht="13" hidden="1" x14ac:dyDescent="0.15">
      <c r="A386" s="3" t="s">
        <v>188</v>
      </c>
      <c r="B386" s="3" t="e">
        <f t="array" aca="1" ref="B386" ca="1">_xludf.XLOOKUP(A386,duobahlul_videos!$A$1:$A$52,duobahlul_videos!$B$1:$B$52)</f>
        <v>#NAME?</v>
      </c>
      <c r="C386" s="3" t="s">
        <v>1052</v>
      </c>
      <c r="D386" s="3">
        <v>37</v>
      </c>
      <c r="E386" s="3" t="s">
        <v>1053</v>
      </c>
    </row>
    <row r="387" spans="1:5" ht="13" hidden="1" x14ac:dyDescent="0.15">
      <c r="A387" s="3" t="s">
        <v>188</v>
      </c>
      <c r="B387" s="3" t="e">
        <f t="array" aca="1" ref="B387" ca="1">_xludf.XLOOKUP(A387,duobahlul_videos!$A$1:$A$52,duobahlul_videos!$B$1:$B$52)</f>
        <v>#NAME?</v>
      </c>
      <c r="C387" s="3" t="s">
        <v>1054</v>
      </c>
      <c r="D387" s="3">
        <v>231</v>
      </c>
      <c r="E387" s="3" t="s">
        <v>1055</v>
      </c>
    </row>
    <row r="388" spans="1:5" ht="13" hidden="1" x14ac:dyDescent="0.15">
      <c r="A388" s="3" t="s">
        <v>188</v>
      </c>
      <c r="B388" s="3" t="e">
        <f t="array" aca="1" ref="B388" ca="1">_xludf.XLOOKUP(A388,duobahlul_videos!$A$1:$A$52,duobahlul_videos!$B$1:$B$52)</f>
        <v>#NAME?</v>
      </c>
      <c r="C388" s="3" t="s">
        <v>1056</v>
      </c>
      <c r="D388" s="3">
        <v>102</v>
      </c>
      <c r="E388" s="3" t="s">
        <v>1057</v>
      </c>
    </row>
    <row r="389" spans="1:5" ht="13" hidden="1" x14ac:dyDescent="0.15">
      <c r="A389" s="3" t="s">
        <v>188</v>
      </c>
      <c r="B389" s="3" t="e">
        <f t="array" aca="1" ref="B389" ca="1">_xludf.XLOOKUP(A389,duobahlul_videos!$A$1:$A$52,duobahlul_videos!$B$1:$B$52)</f>
        <v>#NAME?</v>
      </c>
      <c r="C389" s="3" t="s">
        <v>1058</v>
      </c>
      <c r="D389" s="3">
        <v>73</v>
      </c>
      <c r="E389" s="3" t="s">
        <v>1059</v>
      </c>
    </row>
    <row r="390" spans="1:5" ht="13" hidden="1" x14ac:dyDescent="0.15">
      <c r="A390" s="3" t="s">
        <v>188</v>
      </c>
      <c r="B390" s="3" t="e">
        <f t="array" aca="1" ref="B390" ca="1">_xludf.XLOOKUP(A390,duobahlul_videos!$A$1:$A$52,duobahlul_videos!$B$1:$B$52)</f>
        <v>#NAME?</v>
      </c>
      <c r="C390" s="3" t="s">
        <v>1060</v>
      </c>
      <c r="D390" s="3">
        <v>13</v>
      </c>
      <c r="E390" s="3" t="s">
        <v>1061</v>
      </c>
    </row>
    <row r="391" spans="1:5" ht="13" hidden="1" x14ac:dyDescent="0.15">
      <c r="A391" s="3" t="s">
        <v>188</v>
      </c>
      <c r="B391" s="3" t="e">
        <f t="array" aca="1" ref="B391" ca="1">_xludf.XLOOKUP(A391,duobahlul_videos!$A$1:$A$52,duobahlul_videos!$B$1:$B$52)</f>
        <v>#NAME?</v>
      </c>
      <c r="C391" s="3" t="s">
        <v>1062</v>
      </c>
      <c r="D391" s="3">
        <v>7</v>
      </c>
      <c r="E391" s="3" t="s">
        <v>1063</v>
      </c>
    </row>
    <row r="392" spans="1:5" ht="13" hidden="1" x14ac:dyDescent="0.15">
      <c r="A392" s="3" t="s">
        <v>188</v>
      </c>
      <c r="B392" s="3" t="e">
        <f t="array" aca="1" ref="B392" ca="1">_xludf.XLOOKUP(A392,duobahlul_videos!$A$1:$A$52,duobahlul_videos!$B$1:$B$52)</f>
        <v>#NAME?</v>
      </c>
      <c r="C392" s="3" t="s">
        <v>1064</v>
      </c>
      <c r="D392" s="3">
        <v>7</v>
      </c>
      <c r="E392" s="3" t="s">
        <v>1065</v>
      </c>
    </row>
    <row r="393" spans="1:5" ht="13" hidden="1" x14ac:dyDescent="0.15">
      <c r="A393" s="3" t="s">
        <v>188</v>
      </c>
      <c r="B393" s="3" t="e">
        <f t="array" aca="1" ref="B393" ca="1">_xludf.XLOOKUP(A393,duobahlul_videos!$A$1:$A$52,duobahlul_videos!$B$1:$B$52)</f>
        <v>#NAME?</v>
      </c>
      <c r="C393" s="3" t="s">
        <v>1066</v>
      </c>
      <c r="D393" s="3">
        <v>16</v>
      </c>
      <c r="E393" s="3" t="s">
        <v>1067</v>
      </c>
    </row>
    <row r="394" spans="1:5" ht="13" hidden="1" x14ac:dyDescent="0.15">
      <c r="A394" s="3" t="s">
        <v>188</v>
      </c>
      <c r="B394" s="3" t="e">
        <f t="array" aca="1" ref="B394" ca="1">_xludf.XLOOKUP(A394,duobahlul_videos!$A$1:$A$52,duobahlul_videos!$B$1:$B$52)</f>
        <v>#NAME?</v>
      </c>
      <c r="C394" s="3" t="s">
        <v>1068</v>
      </c>
      <c r="D394" s="3">
        <v>9</v>
      </c>
      <c r="E394" s="3" t="s">
        <v>1069</v>
      </c>
    </row>
    <row r="395" spans="1:5" ht="13" hidden="1" x14ac:dyDescent="0.15">
      <c r="A395" s="3" t="s">
        <v>188</v>
      </c>
      <c r="B395" s="3" t="e">
        <f t="array" aca="1" ref="B395" ca="1">_xludf.XLOOKUP(A395,duobahlul_videos!$A$1:$A$52,duobahlul_videos!$B$1:$B$52)</f>
        <v>#NAME?</v>
      </c>
      <c r="C395" s="3" t="s">
        <v>1070</v>
      </c>
      <c r="D395" s="3">
        <v>54</v>
      </c>
      <c r="E395" s="3" t="s">
        <v>1071</v>
      </c>
    </row>
    <row r="396" spans="1:5" ht="13" hidden="1" x14ac:dyDescent="0.15">
      <c r="A396" s="3" t="s">
        <v>188</v>
      </c>
      <c r="B396" s="3" t="e">
        <f t="array" aca="1" ref="B396" ca="1">_xludf.XLOOKUP(A396,duobahlul_videos!$A$1:$A$52,duobahlul_videos!$B$1:$B$52)</f>
        <v>#NAME?</v>
      </c>
      <c r="C396" s="3" t="s">
        <v>1072</v>
      </c>
      <c r="D396" s="3">
        <v>11</v>
      </c>
      <c r="E396" s="3" t="s">
        <v>1073</v>
      </c>
    </row>
    <row r="397" spans="1:5" ht="13" hidden="1" x14ac:dyDescent="0.15">
      <c r="A397" s="3" t="s">
        <v>188</v>
      </c>
      <c r="B397" s="3" t="e">
        <f t="array" aca="1" ref="B397" ca="1">_xludf.XLOOKUP(A397,duobahlul_videos!$A$1:$A$52,duobahlul_videos!$B$1:$B$52)</f>
        <v>#NAME?</v>
      </c>
      <c r="C397" s="3" t="s">
        <v>1074</v>
      </c>
      <c r="D397" s="3">
        <v>18</v>
      </c>
      <c r="E397" s="3" t="s">
        <v>1075</v>
      </c>
    </row>
    <row r="398" spans="1:5" ht="13" hidden="1" x14ac:dyDescent="0.15">
      <c r="A398" s="3" t="s">
        <v>188</v>
      </c>
      <c r="B398" s="3" t="e">
        <f t="array" aca="1" ref="B398" ca="1">_xludf.XLOOKUP(A398,duobahlul_videos!$A$1:$A$52,duobahlul_videos!$B$1:$B$52)</f>
        <v>#NAME?</v>
      </c>
      <c r="C398" s="3" t="s">
        <v>1076</v>
      </c>
      <c r="D398" s="3">
        <v>2</v>
      </c>
      <c r="E398" s="3" t="s">
        <v>1077</v>
      </c>
    </row>
    <row r="399" spans="1:5" ht="13" hidden="1" x14ac:dyDescent="0.15">
      <c r="A399" s="3" t="s">
        <v>188</v>
      </c>
      <c r="B399" s="3" t="e">
        <f t="array" aca="1" ref="B399" ca="1">_xludf.XLOOKUP(A399,duobahlul_videos!$A$1:$A$52,duobahlul_videos!$B$1:$B$52)</f>
        <v>#NAME?</v>
      </c>
      <c r="C399" s="3" t="s">
        <v>1078</v>
      </c>
      <c r="D399" s="3">
        <v>2</v>
      </c>
      <c r="E399" s="3" t="s">
        <v>1079</v>
      </c>
    </row>
    <row r="400" spans="1:5" ht="13" hidden="1" x14ac:dyDescent="0.15">
      <c r="A400" s="3" t="s">
        <v>188</v>
      </c>
      <c r="B400" s="3" t="e">
        <f t="array" aca="1" ref="B400" ca="1">_xludf.XLOOKUP(A400,duobahlul_videos!$A$1:$A$52,duobahlul_videos!$B$1:$B$52)</f>
        <v>#NAME?</v>
      </c>
      <c r="C400" s="3" t="s">
        <v>1080</v>
      </c>
      <c r="D400" s="3">
        <v>33</v>
      </c>
      <c r="E400" s="3" t="s">
        <v>1081</v>
      </c>
    </row>
    <row r="401" spans="1:5" ht="13" hidden="1" x14ac:dyDescent="0.15">
      <c r="A401" s="3" t="s">
        <v>188</v>
      </c>
      <c r="B401" s="3" t="e">
        <f t="array" aca="1" ref="B401" ca="1">_xludf.XLOOKUP(A401,duobahlul_videos!$A$1:$A$52,duobahlul_videos!$B$1:$B$52)</f>
        <v>#NAME?</v>
      </c>
      <c r="C401" s="3" t="s">
        <v>1082</v>
      </c>
      <c r="D401" s="3">
        <v>3</v>
      </c>
      <c r="E401" s="3" t="s">
        <v>1083</v>
      </c>
    </row>
    <row r="402" spans="1:5" ht="13" hidden="1" x14ac:dyDescent="0.15">
      <c r="A402" s="3" t="s">
        <v>33</v>
      </c>
      <c r="B402" s="3" t="e">
        <f t="array" aca="1" ref="B402" ca="1">_xludf.XLOOKUP(A402,duobahlul_videos!$A$1:$A$52,duobahlul_videos!$B$1:$B$52)</f>
        <v>#NAME?</v>
      </c>
      <c r="C402" s="3" t="s">
        <v>1084</v>
      </c>
      <c r="D402" s="3">
        <v>1038</v>
      </c>
      <c r="E402" s="3" t="s">
        <v>1085</v>
      </c>
    </row>
    <row r="403" spans="1:5" ht="13" hidden="1" x14ac:dyDescent="0.15">
      <c r="A403" s="3" t="s">
        <v>33</v>
      </c>
      <c r="B403" s="3" t="e">
        <f t="array" aca="1" ref="B403" ca="1">_xludf.XLOOKUP(A403,duobahlul_videos!$A$1:$A$52,duobahlul_videos!$B$1:$B$52)</f>
        <v>#NAME?</v>
      </c>
      <c r="C403" s="3" t="s">
        <v>1086</v>
      </c>
      <c r="D403" s="3">
        <v>749</v>
      </c>
      <c r="E403" s="3" t="s">
        <v>1087</v>
      </c>
    </row>
    <row r="404" spans="1:5" ht="13" hidden="1" x14ac:dyDescent="0.15">
      <c r="A404" s="3" t="s">
        <v>33</v>
      </c>
      <c r="B404" s="3" t="e">
        <f t="array" aca="1" ref="B404" ca="1">_xludf.XLOOKUP(A404,duobahlul_videos!$A$1:$A$52,duobahlul_videos!$B$1:$B$52)</f>
        <v>#NAME?</v>
      </c>
      <c r="C404" s="3" t="s">
        <v>1088</v>
      </c>
      <c r="D404" s="3">
        <v>651</v>
      </c>
      <c r="E404" s="3" t="s">
        <v>1089</v>
      </c>
    </row>
    <row r="405" spans="1:5" ht="13" hidden="1" x14ac:dyDescent="0.15">
      <c r="A405" s="3" t="s">
        <v>33</v>
      </c>
      <c r="B405" s="3" t="e">
        <f t="array" aca="1" ref="B405" ca="1">_xludf.XLOOKUP(A405,duobahlul_videos!$A$1:$A$52,duobahlul_videos!$B$1:$B$52)</f>
        <v>#NAME?</v>
      </c>
      <c r="C405" s="3" t="s">
        <v>1090</v>
      </c>
      <c r="D405" s="3">
        <v>558</v>
      </c>
      <c r="E405" s="3" t="s">
        <v>1091</v>
      </c>
    </row>
    <row r="406" spans="1:5" ht="13" hidden="1" x14ac:dyDescent="0.15">
      <c r="A406" s="3" t="s">
        <v>33</v>
      </c>
      <c r="B406" s="3" t="e">
        <f t="array" aca="1" ref="B406" ca="1">_xludf.XLOOKUP(A406,duobahlul_videos!$A$1:$A$52,duobahlul_videos!$B$1:$B$52)</f>
        <v>#NAME?</v>
      </c>
      <c r="C406" s="3" t="s">
        <v>1092</v>
      </c>
      <c r="D406" s="3">
        <v>914</v>
      </c>
      <c r="E406" s="3" t="s">
        <v>1093</v>
      </c>
    </row>
    <row r="407" spans="1:5" ht="13" hidden="1" x14ac:dyDescent="0.15">
      <c r="A407" s="3" t="s">
        <v>33</v>
      </c>
      <c r="B407" s="3" t="e">
        <f t="array" aca="1" ref="B407" ca="1">_xludf.XLOOKUP(A407,duobahlul_videos!$A$1:$A$52,duobahlul_videos!$B$1:$B$52)</f>
        <v>#NAME?</v>
      </c>
      <c r="C407" s="3" t="s">
        <v>1094</v>
      </c>
      <c r="D407" s="3">
        <v>267</v>
      </c>
      <c r="E407" s="3" t="s">
        <v>1095</v>
      </c>
    </row>
    <row r="408" spans="1:5" ht="13" hidden="1" x14ac:dyDescent="0.15">
      <c r="A408" s="3" t="s">
        <v>33</v>
      </c>
      <c r="B408" s="3" t="e">
        <f t="array" aca="1" ref="B408" ca="1">_xludf.XLOOKUP(A408,duobahlul_videos!$A$1:$A$52,duobahlul_videos!$B$1:$B$52)</f>
        <v>#NAME?</v>
      </c>
      <c r="C408" s="3" t="s">
        <v>1096</v>
      </c>
      <c r="D408" s="3">
        <v>166</v>
      </c>
      <c r="E408" s="3" t="s">
        <v>1097</v>
      </c>
    </row>
    <row r="409" spans="1:5" ht="13" hidden="1" x14ac:dyDescent="0.15">
      <c r="A409" s="3" t="s">
        <v>33</v>
      </c>
      <c r="B409" s="3" t="e">
        <f t="array" aca="1" ref="B409" ca="1">_xludf.XLOOKUP(A409,duobahlul_videos!$A$1:$A$52,duobahlul_videos!$B$1:$B$52)</f>
        <v>#NAME?</v>
      </c>
      <c r="C409" s="3" t="s">
        <v>1098</v>
      </c>
      <c r="D409" s="3">
        <v>228</v>
      </c>
      <c r="E409" s="3" t="s">
        <v>1099</v>
      </c>
    </row>
    <row r="410" spans="1:5" ht="13" hidden="1" x14ac:dyDescent="0.15">
      <c r="A410" s="3" t="s">
        <v>33</v>
      </c>
      <c r="B410" s="3" t="e">
        <f t="array" aca="1" ref="B410" ca="1">_xludf.XLOOKUP(A410,duobahlul_videos!$A$1:$A$52,duobahlul_videos!$B$1:$B$52)</f>
        <v>#NAME?</v>
      </c>
      <c r="C410" s="3" t="s">
        <v>1100</v>
      </c>
      <c r="D410" s="3">
        <v>608</v>
      </c>
      <c r="E410" s="3" t="s">
        <v>1101</v>
      </c>
    </row>
    <row r="411" spans="1:5" ht="13" hidden="1" x14ac:dyDescent="0.15">
      <c r="A411" s="3" t="s">
        <v>33</v>
      </c>
      <c r="B411" s="3" t="e">
        <f t="array" aca="1" ref="B411" ca="1">_xludf.XLOOKUP(A411,duobahlul_videos!$A$1:$A$52,duobahlul_videos!$B$1:$B$52)</f>
        <v>#NAME?</v>
      </c>
      <c r="C411" s="3" t="s">
        <v>1102</v>
      </c>
      <c r="D411" s="3">
        <v>69</v>
      </c>
      <c r="E411" s="3" t="s">
        <v>1103</v>
      </c>
    </row>
    <row r="412" spans="1:5" ht="13" hidden="1" x14ac:dyDescent="0.15">
      <c r="A412" s="3" t="s">
        <v>33</v>
      </c>
      <c r="B412" s="3" t="e">
        <f t="array" aca="1" ref="B412" ca="1">_xludf.XLOOKUP(A412,duobahlul_videos!$A$1:$A$52,duobahlul_videos!$B$1:$B$52)</f>
        <v>#NAME?</v>
      </c>
      <c r="C412" s="3" t="s">
        <v>1104</v>
      </c>
      <c r="D412" s="3">
        <v>249</v>
      </c>
      <c r="E412" s="3" t="s">
        <v>1105</v>
      </c>
    </row>
    <row r="413" spans="1:5" ht="13" hidden="1" x14ac:dyDescent="0.15">
      <c r="A413" s="3" t="s">
        <v>33</v>
      </c>
      <c r="B413" s="3" t="e">
        <f t="array" aca="1" ref="B413" ca="1">_xludf.XLOOKUP(A413,duobahlul_videos!$A$1:$A$52,duobahlul_videos!$B$1:$B$52)</f>
        <v>#NAME?</v>
      </c>
      <c r="C413" s="3" t="s">
        <v>1106</v>
      </c>
      <c r="D413" s="3">
        <v>95</v>
      </c>
      <c r="E413" s="3" t="s">
        <v>1107</v>
      </c>
    </row>
    <row r="414" spans="1:5" ht="13" hidden="1" x14ac:dyDescent="0.15">
      <c r="A414" s="3" t="s">
        <v>33</v>
      </c>
      <c r="B414" s="3" t="e">
        <f t="array" aca="1" ref="B414" ca="1">_xludf.XLOOKUP(A414,duobahlul_videos!$A$1:$A$52,duobahlul_videos!$B$1:$B$52)</f>
        <v>#NAME?</v>
      </c>
      <c r="C414" s="3" t="s">
        <v>1108</v>
      </c>
      <c r="D414" s="3">
        <v>39</v>
      </c>
      <c r="E414" s="3" t="s">
        <v>1109</v>
      </c>
    </row>
    <row r="415" spans="1:5" ht="13" hidden="1" x14ac:dyDescent="0.15">
      <c r="A415" s="3" t="s">
        <v>33</v>
      </c>
      <c r="B415" s="3" t="e">
        <f t="array" aca="1" ref="B415" ca="1">_xludf.XLOOKUP(A415,duobahlul_videos!$A$1:$A$52,duobahlul_videos!$B$1:$B$52)</f>
        <v>#NAME?</v>
      </c>
      <c r="C415" s="3" t="s">
        <v>1110</v>
      </c>
      <c r="D415" s="3">
        <v>42</v>
      </c>
      <c r="E415" s="3" t="s">
        <v>1111</v>
      </c>
    </row>
    <row r="416" spans="1:5" ht="13" hidden="1" x14ac:dyDescent="0.15">
      <c r="A416" s="3" t="s">
        <v>33</v>
      </c>
      <c r="B416" s="3" t="e">
        <f t="array" aca="1" ref="B416" ca="1">_xludf.XLOOKUP(A416,duobahlul_videos!$A$1:$A$52,duobahlul_videos!$B$1:$B$52)</f>
        <v>#NAME?</v>
      </c>
      <c r="C416" s="3" t="s">
        <v>1112</v>
      </c>
      <c r="D416" s="3">
        <v>6</v>
      </c>
      <c r="E416" s="3" t="s">
        <v>1113</v>
      </c>
    </row>
    <row r="417" spans="1:5" ht="13" hidden="1" x14ac:dyDescent="0.15">
      <c r="A417" s="3" t="s">
        <v>33</v>
      </c>
      <c r="B417" s="3" t="e">
        <f t="array" aca="1" ref="B417" ca="1">_xludf.XLOOKUP(A417,duobahlul_videos!$A$1:$A$52,duobahlul_videos!$B$1:$B$52)</f>
        <v>#NAME?</v>
      </c>
      <c r="C417" s="3" t="s">
        <v>1114</v>
      </c>
      <c r="D417" s="3">
        <v>4</v>
      </c>
      <c r="E417" s="3" t="s">
        <v>1115</v>
      </c>
    </row>
    <row r="418" spans="1:5" ht="13" hidden="1" x14ac:dyDescent="0.15">
      <c r="A418" s="3" t="s">
        <v>33</v>
      </c>
      <c r="B418" s="3" t="e">
        <f t="array" aca="1" ref="B418" ca="1">_xludf.XLOOKUP(A418,duobahlul_videos!$A$1:$A$52,duobahlul_videos!$B$1:$B$52)</f>
        <v>#NAME?</v>
      </c>
      <c r="C418" s="3" t="s">
        <v>1116</v>
      </c>
      <c r="D418" s="3">
        <v>132</v>
      </c>
      <c r="E418" s="3" t="s">
        <v>1117</v>
      </c>
    </row>
    <row r="419" spans="1:5" ht="13" hidden="1" x14ac:dyDescent="0.15">
      <c r="A419" s="3" t="s">
        <v>33</v>
      </c>
      <c r="B419" s="3" t="e">
        <f t="array" aca="1" ref="B419" ca="1">_xludf.XLOOKUP(A419,duobahlul_videos!$A$1:$A$52,duobahlul_videos!$B$1:$B$52)</f>
        <v>#NAME?</v>
      </c>
      <c r="C419" s="3" t="s">
        <v>1118</v>
      </c>
      <c r="D419" s="3">
        <v>91</v>
      </c>
      <c r="E419" s="3" t="s">
        <v>1119</v>
      </c>
    </row>
    <row r="420" spans="1:5" ht="13" hidden="1" x14ac:dyDescent="0.15">
      <c r="A420" s="3" t="s">
        <v>33</v>
      </c>
      <c r="B420" s="3" t="e">
        <f t="array" aca="1" ref="B420" ca="1">_xludf.XLOOKUP(A420,duobahlul_videos!$A$1:$A$52,duobahlul_videos!$B$1:$B$52)</f>
        <v>#NAME?</v>
      </c>
      <c r="C420" s="3" t="s">
        <v>1120</v>
      </c>
      <c r="D420" s="3">
        <v>65</v>
      </c>
      <c r="E420" s="3" t="s">
        <v>1121</v>
      </c>
    </row>
    <row r="421" spans="1:5" ht="13" hidden="1" x14ac:dyDescent="0.15">
      <c r="A421" s="3" t="s">
        <v>33</v>
      </c>
      <c r="B421" s="3" t="e">
        <f t="array" aca="1" ref="B421" ca="1">_xludf.XLOOKUP(A421,duobahlul_videos!$A$1:$A$52,duobahlul_videos!$B$1:$B$52)</f>
        <v>#NAME?</v>
      </c>
      <c r="C421" s="3" t="s">
        <v>1122</v>
      </c>
      <c r="D421" s="3">
        <v>208</v>
      </c>
      <c r="E421" s="3" t="s">
        <v>1123</v>
      </c>
    </row>
    <row r="422" spans="1:5" ht="13" hidden="1" x14ac:dyDescent="0.15">
      <c r="A422" s="3" t="s">
        <v>156</v>
      </c>
      <c r="B422" s="3" t="e">
        <f t="array" aca="1" ref="B422" ca="1">_xludf.XLOOKUP(A422,duobahlul_videos!$A$1:$A$52,duobahlul_videos!$B$1:$B$52)</f>
        <v>#NAME?</v>
      </c>
      <c r="C422" s="3" t="s">
        <v>1124</v>
      </c>
      <c r="D422" s="3">
        <v>94</v>
      </c>
      <c r="E422" s="3" t="s">
        <v>1125</v>
      </c>
    </row>
    <row r="423" spans="1:5" ht="13" hidden="1" x14ac:dyDescent="0.15">
      <c r="A423" s="3" t="s">
        <v>156</v>
      </c>
      <c r="B423" s="3" t="e">
        <f t="array" aca="1" ref="B423" ca="1">_xludf.XLOOKUP(A423,duobahlul_videos!$A$1:$A$52,duobahlul_videos!$B$1:$B$52)</f>
        <v>#NAME?</v>
      </c>
      <c r="C423" s="3" t="s">
        <v>1126</v>
      </c>
      <c r="D423" s="3">
        <v>133</v>
      </c>
      <c r="E423" s="3" t="s">
        <v>1127</v>
      </c>
    </row>
    <row r="424" spans="1:5" ht="13" hidden="1" x14ac:dyDescent="0.15">
      <c r="A424" s="3" t="s">
        <v>156</v>
      </c>
      <c r="B424" s="3" t="e">
        <f t="array" aca="1" ref="B424" ca="1">_xludf.XLOOKUP(A424,duobahlul_videos!$A$1:$A$52,duobahlul_videos!$B$1:$B$52)</f>
        <v>#NAME?</v>
      </c>
      <c r="C424" s="3" t="s">
        <v>1128</v>
      </c>
      <c r="D424" s="3">
        <v>243</v>
      </c>
      <c r="E424" s="3" t="s">
        <v>1129</v>
      </c>
    </row>
    <row r="425" spans="1:5" ht="13" hidden="1" x14ac:dyDescent="0.15">
      <c r="A425" s="3" t="s">
        <v>156</v>
      </c>
      <c r="B425" s="3" t="e">
        <f t="array" aca="1" ref="B425" ca="1">_xludf.XLOOKUP(A425,duobahlul_videos!$A$1:$A$52,duobahlul_videos!$B$1:$B$52)</f>
        <v>#NAME?</v>
      </c>
      <c r="C425" s="3" t="s">
        <v>1130</v>
      </c>
      <c r="D425" s="3">
        <v>69</v>
      </c>
      <c r="E425" s="3" t="s">
        <v>1131</v>
      </c>
    </row>
    <row r="426" spans="1:5" ht="13" hidden="1" x14ac:dyDescent="0.15">
      <c r="A426" s="3" t="s">
        <v>156</v>
      </c>
      <c r="B426" s="3" t="e">
        <f t="array" aca="1" ref="B426" ca="1">_xludf.XLOOKUP(A426,duobahlul_videos!$A$1:$A$52,duobahlul_videos!$B$1:$B$52)</f>
        <v>#NAME?</v>
      </c>
      <c r="C426" s="3" t="s">
        <v>1132</v>
      </c>
      <c r="D426" s="3">
        <v>592</v>
      </c>
      <c r="E426" s="3" t="s">
        <v>1133</v>
      </c>
    </row>
    <row r="427" spans="1:5" ht="13" hidden="1" x14ac:dyDescent="0.15">
      <c r="A427" s="3" t="s">
        <v>156</v>
      </c>
      <c r="B427" s="3" t="e">
        <f t="array" aca="1" ref="B427" ca="1">_xludf.XLOOKUP(A427,duobahlul_videos!$A$1:$A$52,duobahlul_videos!$B$1:$B$52)</f>
        <v>#NAME?</v>
      </c>
      <c r="C427" s="3" t="s">
        <v>1134</v>
      </c>
      <c r="D427" s="3">
        <v>103</v>
      </c>
      <c r="E427" s="3" t="s">
        <v>1135</v>
      </c>
    </row>
    <row r="428" spans="1:5" ht="13" hidden="1" x14ac:dyDescent="0.15">
      <c r="A428" s="3" t="s">
        <v>156</v>
      </c>
      <c r="B428" s="3" t="e">
        <f t="array" aca="1" ref="B428" ca="1">_xludf.XLOOKUP(A428,duobahlul_videos!$A$1:$A$52,duobahlul_videos!$B$1:$B$52)</f>
        <v>#NAME?</v>
      </c>
      <c r="C428" s="3" t="s">
        <v>1136</v>
      </c>
      <c r="D428" s="3">
        <v>53</v>
      </c>
      <c r="E428" s="3" t="s">
        <v>1137</v>
      </c>
    </row>
    <row r="429" spans="1:5" ht="13" hidden="1" x14ac:dyDescent="0.15">
      <c r="A429" s="3" t="s">
        <v>156</v>
      </c>
      <c r="B429" s="3" t="e">
        <f t="array" aca="1" ref="B429" ca="1">_xludf.XLOOKUP(A429,duobahlul_videos!$A$1:$A$52,duobahlul_videos!$B$1:$B$52)</f>
        <v>#NAME?</v>
      </c>
      <c r="C429" s="3" t="s">
        <v>1138</v>
      </c>
      <c r="D429" s="3">
        <v>111</v>
      </c>
      <c r="E429" s="3" t="s">
        <v>1139</v>
      </c>
    </row>
    <row r="430" spans="1:5" ht="13" hidden="1" x14ac:dyDescent="0.15">
      <c r="A430" s="3" t="s">
        <v>156</v>
      </c>
      <c r="B430" s="3" t="e">
        <f t="array" aca="1" ref="B430" ca="1">_xludf.XLOOKUP(A430,duobahlul_videos!$A$1:$A$52,duobahlul_videos!$B$1:$B$52)</f>
        <v>#NAME?</v>
      </c>
      <c r="C430" s="3" t="s">
        <v>1140</v>
      </c>
      <c r="D430" s="3">
        <v>95</v>
      </c>
      <c r="E430" s="3" t="s">
        <v>1141</v>
      </c>
    </row>
    <row r="431" spans="1:5" ht="13" hidden="1" x14ac:dyDescent="0.15">
      <c r="A431" s="3" t="s">
        <v>156</v>
      </c>
      <c r="B431" s="3" t="e">
        <f t="array" aca="1" ref="B431" ca="1">_xludf.XLOOKUP(A431,duobahlul_videos!$A$1:$A$52,duobahlul_videos!$B$1:$B$52)</f>
        <v>#NAME?</v>
      </c>
      <c r="C431" s="3" t="s">
        <v>1142</v>
      </c>
      <c r="D431" s="3">
        <v>168</v>
      </c>
      <c r="E431" s="3" t="s">
        <v>1143</v>
      </c>
    </row>
    <row r="432" spans="1:5" ht="13" hidden="1" x14ac:dyDescent="0.15">
      <c r="A432" s="3" t="s">
        <v>156</v>
      </c>
      <c r="B432" s="3" t="e">
        <f t="array" aca="1" ref="B432" ca="1">_xludf.XLOOKUP(A432,duobahlul_videos!$A$1:$A$52,duobahlul_videos!$B$1:$B$52)</f>
        <v>#NAME?</v>
      </c>
      <c r="C432" s="3" t="s">
        <v>1144</v>
      </c>
      <c r="D432" s="3">
        <v>22</v>
      </c>
      <c r="E432" s="3" t="s">
        <v>1145</v>
      </c>
    </row>
    <row r="433" spans="1:5" ht="13" hidden="1" x14ac:dyDescent="0.15">
      <c r="A433" s="3" t="s">
        <v>156</v>
      </c>
      <c r="B433" s="3" t="e">
        <f t="array" aca="1" ref="B433" ca="1">_xludf.XLOOKUP(A433,duobahlul_videos!$A$1:$A$52,duobahlul_videos!$B$1:$B$52)</f>
        <v>#NAME?</v>
      </c>
      <c r="C433" s="3" t="s">
        <v>1146</v>
      </c>
      <c r="D433" s="3">
        <v>57</v>
      </c>
      <c r="E433" s="3" t="s">
        <v>1147</v>
      </c>
    </row>
    <row r="434" spans="1:5" ht="13" hidden="1" x14ac:dyDescent="0.15">
      <c r="A434" s="3" t="s">
        <v>156</v>
      </c>
      <c r="B434" s="3" t="e">
        <f t="array" aca="1" ref="B434" ca="1">_xludf.XLOOKUP(A434,duobahlul_videos!$A$1:$A$52,duobahlul_videos!$B$1:$B$52)</f>
        <v>#NAME?</v>
      </c>
      <c r="C434" s="3" t="s">
        <v>1148</v>
      </c>
      <c r="D434" s="3">
        <v>33</v>
      </c>
      <c r="E434" s="3" t="s">
        <v>1149</v>
      </c>
    </row>
    <row r="435" spans="1:5" ht="13" hidden="1" x14ac:dyDescent="0.15">
      <c r="A435" s="3" t="s">
        <v>156</v>
      </c>
      <c r="B435" s="3" t="e">
        <f t="array" aca="1" ref="B435" ca="1">_xludf.XLOOKUP(A435,duobahlul_videos!$A$1:$A$52,duobahlul_videos!$B$1:$B$52)</f>
        <v>#NAME?</v>
      </c>
      <c r="C435" s="3" t="s">
        <v>1150</v>
      </c>
      <c r="D435" s="3">
        <v>74</v>
      </c>
      <c r="E435" s="3" t="s">
        <v>1151</v>
      </c>
    </row>
    <row r="436" spans="1:5" ht="13" hidden="1" x14ac:dyDescent="0.15">
      <c r="A436" s="3" t="s">
        <v>156</v>
      </c>
      <c r="B436" s="3" t="e">
        <f t="array" aca="1" ref="B436" ca="1">_xludf.XLOOKUP(A436,duobahlul_videos!$A$1:$A$52,duobahlul_videos!$B$1:$B$52)</f>
        <v>#NAME?</v>
      </c>
      <c r="C436" s="3" t="s">
        <v>1152</v>
      </c>
      <c r="D436" s="3">
        <v>25</v>
      </c>
      <c r="E436" s="3" t="s">
        <v>1153</v>
      </c>
    </row>
    <row r="437" spans="1:5" ht="13" hidden="1" x14ac:dyDescent="0.15">
      <c r="A437" s="3" t="s">
        <v>156</v>
      </c>
      <c r="B437" s="3" t="e">
        <f t="array" aca="1" ref="B437" ca="1">_xludf.XLOOKUP(A437,duobahlul_videos!$A$1:$A$52,duobahlul_videos!$B$1:$B$52)</f>
        <v>#NAME?</v>
      </c>
      <c r="C437" s="3" t="s">
        <v>1154</v>
      </c>
      <c r="D437" s="3">
        <v>20</v>
      </c>
      <c r="E437" s="3" t="s">
        <v>1155</v>
      </c>
    </row>
    <row r="438" spans="1:5" ht="13" hidden="1" x14ac:dyDescent="0.15">
      <c r="A438" s="3" t="s">
        <v>156</v>
      </c>
      <c r="B438" s="3" t="e">
        <f t="array" aca="1" ref="B438" ca="1">_xludf.XLOOKUP(A438,duobahlul_videos!$A$1:$A$52,duobahlul_videos!$B$1:$B$52)</f>
        <v>#NAME?</v>
      </c>
      <c r="C438" s="3" t="s">
        <v>1156</v>
      </c>
      <c r="D438" s="3">
        <v>13</v>
      </c>
      <c r="E438" s="3" t="s">
        <v>1157</v>
      </c>
    </row>
    <row r="439" spans="1:5" ht="13" hidden="1" x14ac:dyDescent="0.15">
      <c r="A439" s="3" t="s">
        <v>156</v>
      </c>
      <c r="B439" s="3" t="e">
        <f t="array" aca="1" ref="B439" ca="1">_xludf.XLOOKUP(A439,duobahlul_videos!$A$1:$A$52,duobahlul_videos!$B$1:$B$52)</f>
        <v>#NAME?</v>
      </c>
      <c r="C439" s="3" t="s">
        <v>1158</v>
      </c>
      <c r="D439" s="3">
        <v>38</v>
      </c>
      <c r="E439" s="3" t="s">
        <v>1159</v>
      </c>
    </row>
    <row r="440" spans="1:5" ht="13" hidden="1" x14ac:dyDescent="0.15">
      <c r="A440" s="3" t="s">
        <v>156</v>
      </c>
      <c r="B440" s="3" t="e">
        <f t="array" aca="1" ref="B440" ca="1">_xludf.XLOOKUP(A440,duobahlul_videos!$A$1:$A$52,duobahlul_videos!$B$1:$B$52)</f>
        <v>#NAME?</v>
      </c>
      <c r="C440" s="3" t="s">
        <v>1160</v>
      </c>
      <c r="D440" s="3">
        <v>14</v>
      </c>
      <c r="E440" s="3" t="s">
        <v>1161</v>
      </c>
    </row>
    <row r="441" spans="1:5" ht="13" hidden="1" x14ac:dyDescent="0.15">
      <c r="A441" s="3" t="s">
        <v>156</v>
      </c>
      <c r="B441" s="3" t="e">
        <f t="array" aca="1" ref="B441" ca="1">_xludf.XLOOKUP(A441,duobahlul_videos!$A$1:$A$52,duobahlul_videos!$B$1:$B$52)</f>
        <v>#NAME?</v>
      </c>
      <c r="C441" s="3" t="s">
        <v>1162</v>
      </c>
      <c r="D441" s="3">
        <v>30</v>
      </c>
      <c r="E441" s="3" t="s">
        <v>1163</v>
      </c>
    </row>
    <row r="442" spans="1:5" ht="13" hidden="1" x14ac:dyDescent="0.15">
      <c r="A442" s="3" t="s">
        <v>226</v>
      </c>
      <c r="B442" s="3" t="e">
        <f t="array" aca="1" ref="B442" ca="1">_xludf.XLOOKUP(A442,duobahlul_videos!$A$1:$A$52,duobahlul_videos!$B$1:$B$52)</f>
        <v>#NAME?</v>
      </c>
      <c r="C442" s="3" t="s">
        <v>1164</v>
      </c>
      <c r="D442" s="3">
        <v>38</v>
      </c>
      <c r="E442" s="3" t="s">
        <v>1165</v>
      </c>
    </row>
    <row r="443" spans="1:5" ht="13" hidden="1" x14ac:dyDescent="0.15">
      <c r="A443" s="3" t="s">
        <v>226</v>
      </c>
      <c r="B443" s="3" t="e">
        <f t="array" aca="1" ref="B443" ca="1">_xludf.XLOOKUP(A443,duobahlul_videos!$A$1:$A$52,duobahlul_videos!$B$1:$B$52)</f>
        <v>#NAME?</v>
      </c>
      <c r="C443" s="3" t="s">
        <v>1166</v>
      </c>
      <c r="D443" s="3">
        <v>29</v>
      </c>
      <c r="E443" s="3" t="s">
        <v>1167</v>
      </c>
    </row>
    <row r="444" spans="1:5" ht="13" hidden="1" x14ac:dyDescent="0.15">
      <c r="A444" s="3" t="s">
        <v>226</v>
      </c>
      <c r="B444" s="3" t="e">
        <f t="array" aca="1" ref="B444" ca="1">_xludf.XLOOKUP(A444,duobahlul_videos!$A$1:$A$52,duobahlul_videos!$B$1:$B$52)</f>
        <v>#NAME?</v>
      </c>
      <c r="C444" s="3" t="s">
        <v>1168</v>
      </c>
      <c r="D444" s="3">
        <v>18</v>
      </c>
      <c r="E444" s="3" t="s">
        <v>1169</v>
      </c>
    </row>
    <row r="445" spans="1:5" ht="13" hidden="1" x14ac:dyDescent="0.15">
      <c r="A445" s="3" t="s">
        <v>226</v>
      </c>
      <c r="B445" s="3" t="e">
        <f t="array" aca="1" ref="B445" ca="1">_xludf.XLOOKUP(A445,duobahlul_videos!$A$1:$A$52,duobahlul_videos!$B$1:$B$52)</f>
        <v>#NAME?</v>
      </c>
      <c r="C445" s="3" t="s">
        <v>1170</v>
      </c>
      <c r="D445" s="3">
        <v>10</v>
      </c>
      <c r="E445" s="3" t="s">
        <v>1171</v>
      </c>
    </row>
    <row r="446" spans="1:5" ht="13" hidden="1" x14ac:dyDescent="0.15">
      <c r="A446" s="3" t="s">
        <v>226</v>
      </c>
      <c r="B446" s="3" t="e">
        <f t="array" aca="1" ref="B446" ca="1">_xludf.XLOOKUP(A446,duobahlul_videos!$A$1:$A$52,duobahlul_videos!$B$1:$B$52)</f>
        <v>#NAME?</v>
      </c>
      <c r="C446" s="3" t="s">
        <v>1172</v>
      </c>
      <c r="D446" s="3">
        <v>31</v>
      </c>
      <c r="E446" s="3" t="s">
        <v>1173</v>
      </c>
    </row>
    <row r="447" spans="1:5" ht="13" hidden="1" x14ac:dyDescent="0.15">
      <c r="A447" s="3" t="s">
        <v>226</v>
      </c>
      <c r="B447" s="3" t="e">
        <f t="array" aca="1" ref="B447" ca="1">_xludf.XLOOKUP(A447,duobahlul_videos!$A$1:$A$52,duobahlul_videos!$B$1:$B$52)</f>
        <v>#NAME?</v>
      </c>
      <c r="C447" s="3" t="s">
        <v>1174</v>
      </c>
      <c r="D447" s="3">
        <v>121</v>
      </c>
      <c r="E447" s="3" t="s">
        <v>1175</v>
      </c>
    </row>
    <row r="448" spans="1:5" ht="13" hidden="1" x14ac:dyDescent="0.15">
      <c r="A448" s="3" t="s">
        <v>226</v>
      </c>
      <c r="B448" s="3" t="e">
        <f t="array" aca="1" ref="B448" ca="1">_xludf.XLOOKUP(A448,duobahlul_videos!$A$1:$A$52,duobahlul_videos!$B$1:$B$52)</f>
        <v>#NAME?</v>
      </c>
      <c r="C448" s="3" t="s">
        <v>1176</v>
      </c>
      <c r="D448" s="3">
        <v>17</v>
      </c>
      <c r="E448" s="3" t="s">
        <v>1177</v>
      </c>
    </row>
    <row r="449" spans="1:5" ht="13" hidden="1" x14ac:dyDescent="0.15">
      <c r="A449" s="3" t="s">
        <v>226</v>
      </c>
      <c r="B449" s="3" t="e">
        <f t="array" aca="1" ref="B449" ca="1">_xludf.XLOOKUP(A449,duobahlul_videos!$A$1:$A$52,duobahlul_videos!$B$1:$B$52)</f>
        <v>#NAME?</v>
      </c>
      <c r="C449" s="3" t="s">
        <v>1178</v>
      </c>
      <c r="D449" s="3">
        <v>30</v>
      </c>
      <c r="E449" s="3" t="s">
        <v>1179</v>
      </c>
    </row>
    <row r="450" spans="1:5" ht="13" hidden="1" x14ac:dyDescent="0.15">
      <c r="A450" s="3" t="s">
        <v>226</v>
      </c>
      <c r="B450" s="3" t="e">
        <f t="array" aca="1" ref="B450" ca="1">_xludf.XLOOKUP(A450,duobahlul_videos!$A$1:$A$52,duobahlul_videos!$B$1:$B$52)</f>
        <v>#NAME?</v>
      </c>
      <c r="C450" s="3" t="s">
        <v>1180</v>
      </c>
      <c r="D450" s="3">
        <v>15</v>
      </c>
      <c r="E450" s="3" t="s">
        <v>1181</v>
      </c>
    </row>
    <row r="451" spans="1:5" ht="13" hidden="1" x14ac:dyDescent="0.15">
      <c r="A451" s="3" t="s">
        <v>226</v>
      </c>
      <c r="B451" s="3" t="e">
        <f t="array" aca="1" ref="B451" ca="1">_xludf.XLOOKUP(A451,duobahlul_videos!$A$1:$A$52,duobahlul_videos!$B$1:$B$52)</f>
        <v>#NAME?</v>
      </c>
      <c r="C451" s="3" t="s">
        <v>1182</v>
      </c>
      <c r="D451" s="3">
        <v>11</v>
      </c>
      <c r="E451" s="3" t="s">
        <v>1183</v>
      </c>
    </row>
    <row r="452" spans="1:5" ht="13" hidden="1" x14ac:dyDescent="0.15">
      <c r="A452" s="3" t="s">
        <v>226</v>
      </c>
      <c r="B452" s="3" t="e">
        <f t="array" aca="1" ref="B452" ca="1">_xludf.XLOOKUP(A452,duobahlul_videos!$A$1:$A$52,duobahlul_videos!$B$1:$B$52)</f>
        <v>#NAME?</v>
      </c>
      <c r="C452" s="3" t="s">
        <v>1184</v>
      </c>
      <c r="D452" s="3">
        <v>2</v>
      </c>
      <c r="E452" s="3" t="s">
        <v>1185</v>
      </c>
    </row>
    <row r="453" spans="1:5" ht="13" hidden="1" x14ac:dyDescent="0.15">
      <c r="A453" s="3" t="s">
        <v>226</v>
      </c>
      <c r="B453" s="3" t="e">
        <f t="array" aca="1" ref="B453" ca="1">_xludf.XLOOKUP(A453,duobahlul_videos!$A$1:$A$52,duobahlul_videos!$B$1:$B$52)</f>
        <v>#NAME?</v>
      </c>
      <c r="C453" s="3" t="s">
        <v>1186</v>
      </c>
      <c r="D453" s="3">
        <v>11</v>
      </c>
      <c r="E453" s="3" t="s">
        <v>1187</v>
      </c>
    </row>
    <row r="454" spans="1:5" ht="13" hidden="1" x14ac:dyDescent="0.15">
      <c r="A454" s="3" t="s">
        <v>226</v>
      </c>
      <c r="B454" s="3" t="e">
        <f t="array" aca="1" ref="B454" ca="1">_xludf.XLOOKUP(A454,duobahlul_videos!$A$1:$A$52,duobahlul_videos!$B$1:$B$52)</f>
        <v>#NAME?</v>
      </c>
      <c r="C454" s="3" t="s">
        <v>1188</v>
      </c>
      <c r="D454" s="3">
        <v>18</v>
      </c>
      <c r="E454" s="3" t="s">
        <v>1189</v>
      </c>
    </row>
    <row r="455" spans="1:5" ht="13" hidden="1" x14ac:dyDescent="0.15">
      <c r="A455" s="3" t="s">
        <v>226</v>
      </c>
      <c r="B455" s="3" t="e">
        <f t="array" aca="1" ref="B455" ca="1">_xludf.XLOOKUP(A455,duobahlul_videos!$A$1:$A$52,duobahlul_videos!$B$1:$B$52)</f>
        <v>#NAME?</v>
      </c>
      <c r="C455" s="3" t="s">
        <v>1190</v>
      </c>
      <c r="D455" s="3">
        <v>15</v>
      </c>
      <c r="E455" s="3" t="s">
        <v>1191</v>
      </c>
    </row>
    <row r="456" spans="1:5" ht="13" hidden="1" x14ac:dyDescent="0.15">
      <c r="A456" s="3" t="s">
        <v>226</v>
      </c>
      <c r="B456" s="3" t="e">
        <f t="array" aca="1" ref="B456" ca="1">_xludf.XLOOKUP(A456,duobahlul_videos!$A$1:$A$52,duobahlul_videos!$B$1:$B$52)</f>
        <v>#NAME?</v>
      </c>
      <c r="C456" s="3" t="s">
        <v>1192</v>
      </c>
      <c r="D456" s="3">
        <v>7</v>
      </c>
      <c r="E456" s="3" t="s">
        <v>1193</v>
      </c>
    </row>
    <row r="457" spans="1:5" ht="13" hidden="1" x14ac:dyDescent="0.15">
      <c r="A457" s="3" t="s">
        <v>226</v>
      </c>
      <c r="B457" s="3" t="e">
        <f t="array" aca="1" ref="B457" ca="1">_xludf.XLOOKUP(A457,duobahlul_videos!$A$1:$A$52,duobahlul_videos!$B$1:$B$52)</f>
        <v>#NAME?</v>
      </c>
      <c r="C457" s="3" t="s">
        <v>1194</v>
      </c>
      <c r="D457" s="3">
        <v>7</v>
      </c>
      <c r="E457" s="3" t="s">
        <v>1195</v>
      </c>
    </row>
    <row r="458" spans="1:5" ht="13" hidden="1" x14ac:dyDescent="0.15">
      <c r="A458" s="3" t="s">
        <v>226</v>
      </c>
      <c r="B458" s="3" t="e">
        <f t="array" aca="1" ref="B458" ca="1">_xludf.XLOOKUP(A458,duobahlul_videos!$A$1:$A$52,duobahlul_videos!$B$1:$B$52)</f>
        <v>#NAME?</v>
      </c>
      <c r="C458" s="3" t="s">
        <v>1196</v>
      </c>
      <c r="D458" s="3">
        <v>67</v>
      </c>
      <c r="E458" s="3" t="s">
        <v>1197</v>
      </c>
    </row>
    <row r="459" spans="1:5" ht="13" hidden="1" x14ac:dyDescent="0.15">
      <c r="A459" s="3" t="s">
        <v>226</v>
      </c>
      <c r="B459" s="3" t="e">
        <f t="array" aca="1" ref="B459" ca="1">_xludf.XLOOKUP(A459,duobahlul_videos!$A$1:$A$52,duobahlul_videos!$B$1:$B$52)</f>
        <v>#NAME?</v>
      </c>
      <c r="C459" s="3" t="s">
        <v>1198</v>
      </c>
      <c r="D459" s="3">
        <v>8</v>
      </c>
      <c r="E459" s="3" t="s">
        <v>1199</v>
      </c>
    </row>
    <row r="460" spans="1:5" ht="13" hidden="1" x14ac:dyDescent="0.15">
      <c r="A460" s="3" t="s">
        <v>226</v>
      </c>
      <c r="B460" s="3" t="e">
        <f t="array" aca="1" ref="B460" ca="1">_xludf.XLOOKUP(A460,duobahlul_videos!$A$1:$A$52,duobahlul_videos!$B$1:$B$52)</f>
        <v>#NAME?</v>
      </c>
      <c r="C460" s="3" t="s">
        <v>1200</v>
      </c>
      <c r="D460" s="3">
        <v>5</v>
      </c>
      <c r="E460" s="3" t="s">
        <v>1201</v>
      </c>
    </row>
    <row r="461" spans="1:5" ht="13" hidden="1" x14ac:dyDescent="0.15">
      <c r="A461" s="3" t="s">
        <v>226</v>
      </c>
      <c r="B461" s="3" t="e">
        <f t="array" aca="1" ref="B461" ca="1">_xludf.XLOOKUP(A461,duobahlul_videos!$A$1:$A$52,duobahlul_videos!$B$1:$B$52)</f>
        <v>#NAME?</v>
      </c>
      <c r="C461" s="3" t="s">
        <v>1202</v>
      </c>
      <c r="D461" s="3">
        <v>3</v>
      </c>
      <c r="E461" s="3" t="s">
        <v>1203</v>
      </c>
    </row>
    <row r="462" spans="1:5" ht="13" hidden="1" x14ac:dyDescent="0.15">
      <c r="A462" s="3" t="s">
        <v>272</v>
      </c>
      <c r="B462" s="3" t="e">
        <f t="array" aca="1" ref="B462" ca="1">_xludf.XLOOKUP(A462,duobahlul_videos!$A$1:$A$52,duobahlul_videos!$B$1:$B$52)</f>
        <v>#NAME?</v>
      </c>
      <c r="C462" s="3" t="s">
        <v>1204</v>
      </c>
      <c r="D462" s="3">
        <v>73</v>
      </c>
      <c r="E462" s="3" t="s">
        <v>1205</v>
      </c>
    </row>
    <row r="463" spans="1:5" ht="13" hidden="1" x14ac:dyDescent="0.15">
      <c r="A463" s="3" t="s">
        <v>272</v>
      </c>
      <c r="B463" s="3" t="e">
        <f t="array" aca="1" ref="B463" ca="1">_xludf.XLOOKUP(A463,duobahlul_videos!$A$1:$A$52,duobahlul_videos!$B$1:$B$52)</f>
        <v>#NAME?</v>
      </c>
      <c r="C463" s="3" t="s">
        <v>1206</v>
      </c>
      <c r="D463" s="3">
        <v>33</v>
      </c>
      <c r="E463" s="3" t="s">
        <v>1207</v>
      </c>
    </row>
    <row r="464" spans="1:5" ht="13" hidden="1" x14ac:dyDescent="0.15">
      <c r="A464" s="3" t="s">
        <v>272</v>
      </c>
      <c r="B464" s="3" t="e">
        <f t="array" aca="1" ref="B464" ca="1">_xludf.XLOOKUP(A464,duobahlul_videos!$A$1:$A$52,duobahlul_videos!$B$1:$B$52)</f>
        <v>#NAME?</v>
      </c>
      <c r="C464" s="3" t="s">
        <v>1208</v>
      </c>
      <c r="D464" s="3">
        <v>90</v>
      </c>
      <c r="E464" s="3" t="s">
        <v>1209</v>
      </c>
    </row>
    <row r="465" spans="1:5" ht="13" hidden="1" x14ac:dyDescent="0.15">
      <c r="A465" s="3" t="s">
        <v>272</v>
      </c>
      <c r="B465" s="3" t="e">
        <f t="array" aca="1" ref="B465" ca="1">_xludf.XLOOKUP(A465,duobahlul_videos!$A$1:$A$52,duobahlul_videos!$B$1:$B$52)</f>
        <v>#NAME?</v>
      </c>
      <c r="C465" s="3" t="s">
        <v>1210</v>
      </c>
      <c r="D465" s="3">
        <v>25</v>
      </c>
      <c r="E465" s="3" t="s">
        <v>1211</v>
      </c>
    </row>
    <row r="466" spans="1:5" ht="13" hidden="1" x14ac:dyDescent="0.15">
      <c r="A466" s="3" t="s">
        <v>272</v>
      </c>
      <c r="B466" s="3" t="e">
        <f t="array" aca="1" ref="B466" ca="1">_xludf.XLOOKUP(A466,duobahlul_videos!$A$1:$A$52,duobahlul_videos!$B$1:$B$52)</f>
        <v>#NAME?</v>
      </c>
      <c r="C466" s="3" t="s">
        <v>1212</v>
      </c>
      <c r="D466" s="3">
        <v>5</v>
      </c>
      <c r="E466" s="3" t="s">
        <v>1213</v>
      </c>
    </row>
    <row r="467" spans="1:5" ht="13" hidden="1" x14ac:dyDescent="0.15">
      <c r="A467" s="3" t="s">
        <v>272</v>
      </c>
      <c r="B467" s="3" t="e">
        <f t="array" aca="1" ref="B467" ca="1">_xludf.XLOOKUP(A467,duobahlul_videos!$A$1:$A$52,duobahlul_videos!$B$1:$B$52)</f>
        <v>#NAME?</v>
      </c>
      <c r="C467" s="3" t="s">
        <v>1214</v>
      </c>
      <c r="D467" s="3">
        <v>26</v>
      </c>
      <c r="E467" s="3" t="s">
        <v>1215</v>
      </c>
    </row>
    <row r="468" spans="1:5" ht="13" hidden="1" x14ac:dyDescent="0.15">
      <c r="A468" s="3" t="s">
        <v>272</v>
      </c>
      <c r="B468" s="3" t="e">
        <f t="array" aca="1" ref="B468" ca="1">_xludf.XLOOKUP(A468,duobahlul_videos!$A$1:$A$52,duobahlul_videos!$B$1:$B$52)</f>
        <v>#NAME?</v>
      </c>
      <c r="C468" s="3" t="s">
        <v>1216</v>
      </c>
      <c r="D468" s="3">
        <v>5</v>
      </c>
      <c r="E468" s="3" t="s">
        <v>1217</v>
      </c>
    </row>
    <row r="469" spans="1:5" ht="13" hidden="1" x14ac:dyDescent="0.15">
      <c r="A469" s="3" t="s">
        <v>272</v>
      </c>
      <c r="B469" s="3" t="e">
        <f t="array" aca="1" ref="B469" ca="1">_xludf.XLOOKUP(A469,duobahlul_videos!$A$1:$A$52,duobahlul_videos!$B$1:$B$52)</f>
        <v>#NAME?</v>
      </c>
      <c r="C469" s="3" t="s">
        <v>1218</v>
      </c>
      <c r="D469" s="3">
        <v>4</v>
      </c>
      <c r="E469" s="3" t="s">
        <v>1219</v>
      </c>
    </row>
    <row r="470" spans="1:5" ht="13" hidden="1" x14ac:dyDescent="0.15">
      <c r="A470" s="3" t="s">
        <v>272</v>
      </c>
      <c r="B470" s="3" t="e">
        <f t="array" aca="1" ref="B470" ca="1">_xludf.XLOOKUP(A470,duobahlul_videos!$A$1:$A$52,duobahlul_videos!$B$1:$B$52)</f>
        <v>#NAME?</v>
      </c>
      <c r="C470" s="3" t="s">
        <v>1220</v>
      </c>
      <c r="D470" s="3">
        <v>8</v>
      </c>
      <c r="E470" s="3" t="s">
        <v>1221</v>
      </c>
    </row>
    <row r="471" spans="1:5" ht="13" hidden="1" x14ac:dyDescent="0.15">
      <c r="A471" s="3" t="s">
        <v>272</v>
      </c>
      <c r="B471" s="3" t="e">
        <f t="array" aca="1" ref="B471" ca="1">_xludf.XLOOKUP(A471,duobahlul_videos!$A$1:$A$52,duobahlul_videos!$B$1:$B$52)</f>
        <v>#NAME?</v>
      </c>
      <c r="C471" s="3" t="s">
        <v>1222</v>
      </c>
      <c r="D471" s="3">
        <v>5</v>
      </c>
      <c r="E471" s="3" t="s">
        <v>1223</v>
      </c>
    </row>
    <row r="472" spans="1:5" ht="13" hidden="1" x14ac:dyDescent="0.15">
      <c r="A472" s="3" t="s">
        <v>272</v>
      </c>
      <c r="B472" s="3" t="e">
        <f t="array" aca="1" ref="B472" ca="1">_xludf.XLOOKUP(A472,duobahlul_videos!$A$1:$A$52,duobahlul_videos!$B$1:$B$52)</f>
        <v>#NAME?</v>
      </c>
      <c r="C472" s="3" t="s">
        <v>1224</v>
      </c>
      <c r="D472" s="3">
        <v>31</v>
      </c>
      <c r="E472" s="3" t="s">
        <v>1225</v>
      </c>
    </row>
    <row r="473" spans="1:5" ht="13" hidden="1" x14ac:dyDescent="0.15">
      <c r="A473" s="3" t="s">
        <v>272</v>
      </c>
      <c r="B473" s="3" t="e">
        <f t="array" aca="1" ref="B473" ca="1">_xludf.XLOOKUP(A473,duobahlul_videos!$A$1:$A$52,duobahlul_videos!$B$1:$B$52)</f>
        <v>#NAME?</v>
      </c>
      <c r="C473" s="3" t="s">
        <v>1226</v>
      </c>
      <c r="D473" s="3">
        <v>4</v>
      </c>
      <c r="E473" s="3" t="s">
        <v>1227</v>
      </c>
    </row>
    <row r="474" spans="1:5" ht="13" hidden="1" x14ac:dyDescent="0.15">
      <c r="A474" s="3" t="s">
        <v>272</v>
      </c>
      <c r="B474" s="3" t="e">
        <f t="array" aca="1" ref="B474" ca="1">_xludf.XLOOKUP(A474,duobahlul_videos!$A$1:$A$52,duobahlul_videos!$B$1:$B$52)</f>
        <v>#NAME?</v>
      </c>
      <c r="C474" s="3" t="s">
        <v>1228</v>
      </c>
      <c r="D474" s="3">
        <v>28</v>
      </c>
      <c r="E474" s="3" t="s">
        <v>1229</v>
      </c>
    </row>
    <row r="475" spans="1:5" ht="13" hidden="1" x14ac:dyDescent="0.15">
      <c r="A475" s="3" t="s">
        <v>272</v>
      </c>
      <c r="B475" s="3" t="e">
        <f t="array" aca="1" ref="B475" ca="1">_xludf.XLOOKUP(A475,duobahlul_videos!$A$1:$A$52,duobahlul_videos!$B$1:$B$52)</f>
        <v>#NAME?</v>
      </c>
      <c r="C475" s="3" t="s">
        <v>1230</v>
      </c>
      <c r="D475" s="3">
        <v>7</v>
      </c>
      <c r="E475" s="3" t="s">
        <v>1231</v>
      </c>
    </row>
    <row r="476" spans="1:5" ht="13" hidden="1" x14ac:dyDescent="0.15">
      <c r="A476" s="3" t="s">
        <v>272</v>
      </c>
      <c r="B476" s="3" t="e">
        <f t="array" aca="1" ref="B476" ca="1">_xludf.XLOOKUP(A476,duobahlul_videos!$A$1:$A$52,duobahlul_videos!$B$1:$B$52)</f>
        <v>#NAME?</v>
      </c>
      <c r="C476" s="3" t="s">
        <v>1232</v>
      </c>
      <c r="D476" s="3">
        <v>14</v>
      </c>
      <c r="E476" s="3" t="s">
        <v>1233</v>
      </c>
    </row>
    <row r="477" spans="1:5" ht="13" hidden="1" x14ac:dyDescent="0.15">
      <c r="A477" s="3" t="s">
        <v>272</v>
      </c>
      <c r="B477" s="3" t="e">
        <f t="array" aca="1" ref="B477" ca="1">_xludf.XLOOKUP(A477,duobahlul_videos!$A$1:$A$52,duobahlul_videos!$B$1:$B$52)</f>
        <v>#NAME?</v>
      </c>
      <c r="C477" s="3" t="s">
        <v>1234</v>
      </c>
      <c r="D477" s="3">
        <v>1</v>
      </c>
      <c r="E477" s="3" t="s">
        <v>1235</v>
      </c>
    </row>
    <row r="478" spans="1:5" ht="13" hidden="1" x14ac:dyDescent="0.15">
      <c r="A478" s="3" t="s">
        <v>272</v>
      </c>
      <c r="B478" s="3" t="e">
        <f t="array" aca="1" ref="B478" ca="1">_xludf.XLOOKUP(A478,duobahlul_videos!$A$1:$A$52,duobahlul_videos!$B$1:$B$52)</f>
        <v>#NAME?</v>
      </c>
      <c r="C478" s="3" t="s">
        <v>1236</v>
      </c>
      <c r="D478" s="3">
        <v>1</v>
      </c>
      <c r="E478" s="3" t="s">
        <v>1237</v>
      </c>
    </row>
    <row r="479" spans="1:5" ht="13" hidden="1" x14ac:dyDescent="0.15">
      <c r="A479" s="3" t="s">
        <v>272</v>
      </c>
      <c r="B479" s="3" t="e">
        <f t="array" aca="1" ref="B479" ca="1">_xludf.XLOOKUP(A479,duobahlul_videos!$A$1:$A$52,duobahlul_videos!$B$1:$B$52)</f>
        <v>#NAME?</v>
      </c>
      <c r="C479" s="3" t="s">
        <v>1238</v>
      </c>
      <c r="D479" s="3">
        <v>6</v>
      </c>
      <c r="E479" s="3" t="s">
        <v>1239</v>
      </c>
    </row>
    <row r="480" spans="1:5" ht="13" hidden="1" x14ac:dyDescent="0.15">
      <c r="A480" s="3" t="s">
        <v>272</v>
      </c>
      <c r="B480" s="3" t="e">
        <f t="array" aca="1" ref="B480" ca="1">_xludf.XLOOKUP(A480,duobahlul_videos!$A$1:$A$52,duobahlul_videos!$B$1:$B$52)</f>
        <v>#NAME?</v>
      </c>
      <c r="C480" s="3" t="s">
        <v>1240</v>
      </c>
      <c r="D480" s="3">
        <v>10</v>
      </c>
      <c r="E480" s="3" t="s">
        <v>1241</v>
      </c>
    </row>
    <row r="481" spans="1:5" ht="13" hidden="1" x14ac:dyDescent="0.15">
      <c r="A481" s="3" t="s">
        <v>272</v>
      </c>
      <c r="B481" s="3" t="e">
        <f t="array" aca="1" ref="B481" ca="1">_xludf.XLOOKUP(A481,duobahlul_videos!$A$1:$A$52,duobahlul_videos!$B$1:$B$52)</f>
        <v>#NAME?</v>
      </c>
      <c r="C481" s="3" t="s">
        <v>1242</v>
      </c>
      <c r="D481" s="3">
        <v>6</v>
      </c>
      <c r="E481" s="3" t="s">
        <v>1243</v>
      </c>
    </row>
    <row r="482" spans="1:5" ht="13" hidden="1" x14ac:dyDescent="0.15">
      <c r="A482" s="3" t="s">
        <v>132</v>
      </c>
      <c r="B482" s="3" t="e">
        <f t="array" aca="1" ref="B482" ca="1">_xludf.XLOOKUP(A482,duobahlul_videos!$A$1:$A$52,duobahlul_videos!$B$1:$B$52)</f>
        <v>#NAME?</v>
      </c>
      <c r="C482" s="3" t="s">
        <v>1244</v>
      </c>
      <c r="D482" s="3">
        <v>159</v>
      </c>
      <c r="E482" s="3" t="s">
        <v>1245</v>
      </c>
    </row>
    <row r="483" spans="1:5" ht="13" hidden="1" x14ac:dyDescent="0.15">
      <c r="A483" s="3" t="s">
        <v>132</v>
      </c>
      <c r="B483" s="3" t="e">
        <f t="array" aca="1" ref="B483" ca="1">_xludf.XLOOKUP(A483,duobahlul_videos!$A$1:$A$52,duobahlul_videos!$B$1:$B$52)</f>
        <v>#NAME?</v>
      </c>
      <c r="C483" s="3" t="s">
        <v>1246</v>
      </c>
      <c r="D483" s="3">
        <v>463</v>
      </c>
      <c r="E483" s="3" t="s">
        <v>1247</v>
      </c>
    </row>
    <row r="484" spans="1:5" ht="13" hidden="1" x14ac:dyDescent="0.15">
      <c r="A484" s="3" t="s">
        <v>132</v>
      </c>
      <c r="B484" s="3" t="e">
        <f t="array" aca="1" ref="B484" ca="1">_xludf.XLOOKUP(A484,duobahlul_videos!$A$1:$A$52,duobahlul_videos!$B$1:$B$52)</f>
        <v>#NAME?</v>
      </c>
      <c r="C484" s="3" t="s">
        <v>1248</v>
      </c>
      <c r="D484" s="3">
        <v>61</v>
      </c>
      <c r="E484" s="3" t="s">
        <v>1249</v>
      </c>
    </row>
    <row r="485" spans="1:5" ht="13" hidden="1" x14ac:dyDescent="0.15">
      <c r="A485" s="3" t="s">
        <v>132</v>
      </c>
      <c r="B485" s="3" t="e">
        <f t="array" aca="1" ref="B485" ca="1">_xludf.XLOOKUP(A485,duobahlul_videos!$A$1:$A$52,duobahlul_videos!$B$1:$B$52)</f>
        <v>#NAME?</v>
      </c>
      <c r="C485" s="3" t="s">
        <v>1250</v>
      </c>
      <c r="D485" s="3">
        <v>155</v>
      </c>
      <c r="E485" s="3" t="s">
        <v>1251</v>
      </c>
    </row>
    <row r="486" spans="1:5" ht="13" hidden="1" x14ac:dyDescent="0.15">
      <c r="A486" s="3" t="s">
        <v>132</v>
      </c>
      <c r="B486" s="3" t="e">
        <f t="array" aca="1" ref="B486" ca="1">_xludf.XLOOKUP(A486,duobahlul_videos!$A$1:$A$52,duobahlul_videos!$B$1:$B$52)</f>
        <v>#NAME?</v>
      </c>
      <c r="C486" s="3" t="s">
        <v>1252</v>
      </c>
      <c r="D486" s="3">
        <v>58</v>
      </c>
      <c r="E486" s="3" t="s">
        <v>1253</v>
      </c>
    </row>
    <row r="487" spans="1:5" ht="13" hidden="1" x14ac:dyDescent="0.15">
      <c r="A487" s="3" t="s">
        <v>132</v>
      </c>
      <c r="B487" s="3" t="e">
        <f t="array" aca="1" ref="B487" ca="1">_xludf.XLOOKUP(A487,duobahlul_videos!$A$1:$A$52,duobahlul_videos!$B$1:$B$52)</f>
        <v>#NAME?</v>
      </c>
      <c r="C487" s="3" t="s">
        <v>1254</v>
      </c>
      <c r="D487" s="3">
        <v>114</v>
      </c>
      <c r="E487" s="3" t="s">
        <v>1255</v>
      </c>
    </row>
    <row r="488" spans="1:5" ht="13" hidden="1" x14ac:dyDescent="0.15">
      <c r="A488" s="3" t="s">
        <v>132</v>
      </c>
      <c r="B488" s="3" t="e">
        <f t="array" aca="1" ref="B488" ca="1">_xludf.XLOOKUP(A488,duobahlul_videos!$A$1:$A$52,duobahlul_videos!$B$1:$B$52)</f>
        <v>#NAME?</v>
      </c>
      <c r="C488" s="3" t="s">
        <v>1256</v>
      </c>
      <c r="D488" s="3">
        <v>18</v>
      </c>
      <c r="E488" s="3" t="s">
        <v>1257</v>
      </c>
    </row>
    <row r="489" spans="1:5" ht="13" hidden="1" x14ac:dyDescent="0.15">
      <c r="A489" s="3" t="s">
        <v>132</v>
      </c>
      <c r="B489" s="3" t="e">
        <f t="array" aca="1" ref="B489" ca="1">_xludf.XLOOKUP(A489,duobahlul_videos!$A$1:$A$52,duobahlul_videos!$B$1:$B$52)</f>
        <v>#NAME?</v>
      </c>
      <c r="C489" s="3" t="s">
        <v>1258</v>
      </c>
      <c r="D489" s="3">
        <v>60</v>
      </c>
      <c r="E489" s="3" t="s">
        <v>1259</v>
      </c>
    </row>
    <row r="490" spans="1:5" ht="13" hidden="1" x14ac:dyDescent="0.15">
      <c r="A490" s="3" t="s">
        <v>132</v>
      </c>
      <c r="B490" s="3" t="e">
        <f t="array" aca="1" ref="B490" ca="1">_xludf.XLOOKUP(A490,duobahlul_videos!$A$1:$A$52,duobahlul_videos!$B$1:$B$52)</f>
        <v>#NAME?</v>
      </c>
      <c r="C490" s="3" t="s">
        <v>1260</v>
      </c>
      <c r="D490" s="3">
        <v>66</v>
      </c>
      <c r="E490" s="3" t="s">
        <v>1261</v>
      </c>
    </row>
    <row r="491" spans="1:5" ht="13" hidden="1" x14ac:dyDescent="0.15">
      <c r="A491" s="3" t="s">
        <v>132</v>
      </c>
      <c r="B491" s="3" t="e">
        <f t="array" aca="1" ref="B491" ca="1">_xludf.XLOOKUP(A491,duobahlul_videos!$A$1:$A$52,duobahlul_videos!$B$1:$B$52)</f>
        <v>#NAME?</v>
      </c>
      <c r="C491" s="3" t="s">
        <v>1262</v>
      </c>
      <c r="D491" s="3">
        <v>13</v>
      </c>
      <c r="E491" s="3" t="s">
        <v>1263</v>
      </c>
    </row>
    <row r="492" spans="1:5" ht="13" hidden="1" x14ac:dyDescent="0.15">
      <c r="A492" s="3" t="s">
        <v>132</v>
      </c>
      <c r="B492" s="3" t="e">
        <f t="array" aca="1" ref="B492" ca="1">_xludf.XLOOKUP(A492,duobahlul_videos!$A$1:$A$52,duobahlul_videos!$B$1:$B$52)</f>
        <v>#NAME?</v>
      </c>
      <c r="C492" s="3" t="s">
        <v>1264</v>
      </c>
      <c r="D492" s="3">
        <v>126</v>
      </c>
      <c r="E492" s="3" t="s">
        <v>1265</v>
      </c>
    </row>
    <row r="493" spans="1:5" ht="13" hidden="1" x14ac:dyDescent="0.15">
      <c r="A493" s="3" t="s">
        <v>132</v>
      </c>
      <c r="B493" s="3" t="e">
        <f t="array" aca="1" ref="B493" ca="1">_xludf.XLOOKUP(A493,duobahlul_videos!$A$1:$A$52,duobahlul_videos!$B$1:$B$52)</f>
        <v>#NAME?</v>
      </c>
      <c r="C493" s="3" t="s">
        <v>1266</v>
      </c>
      <c r="D493" s="3">
        <v>23</v>
      </c>
      <c r="E493" s="3" t="s">
        <v>1267</v>
      </c>
    </row>
    <row r="494" spans="1:5" ht="13" hidden="1" x14ac:dyDescent="0.15">
      <c r="A494" s="3" t="s">
        <v>132</v>
      </c>
      <c r="B494" s="3" t="e">
        <f t="array" aca="1" ref="B494" ca="1">_xludf.XLOOKUP(A494,duobahlul_videos!$A$1:$A$52,duobahlul_videos!$B$1:$B$52)</f>
        <v>#NAME?</v>
      </c>
      <c r="C494" s="3" t="s">
        <v>1268</v>
      </c>
      <c r="D494" s="3">
        <v>33</v>
      </c>
      <c r="E494" s="3" t="s">
        <v>1269</v>
      </c>
    </row>
    <row r="495" spans="1:5" ht="13" hidden="1" x14ac:dyDescent="0.15">
      <c r="A495" s="3" t="s">
        <v>132</v>
      </c>
      <c r="B495" s="3" t="e">
        <f t="array" aca="1" ref="B495" ca="1">_xludf.XLOOKUP(A495,duobahlul_videos!$A$1:$A$52,duobahlul_videos!$B$1:$B$52)</f>
        <v>#NAME?</v>
      </c>
      <c r="C495" s="3" t="s">
        <v>1270</v>
      </c>
      <c r="D495" s="3">
        <v>66</v>
      </c>
      <c r="E495" s="3" t="s">
        <v>1271</v>
      </c>
    </row>
    <row r="496" spans="1:5" ht="13" hidden="1" x14ac:dyDescent="0.15">
      <c r="A496" s="3" t="s">
        <v>132</v>
      </c>
      <c r="B496" s="3" t="e">
        <f t="array" aca="1" ref="B496" ca="1">_xludf.XLOOKUP(A496,duobahlul_videos!$A$1:$A$52,duobahlul_videos!$B$1:$B$52)</f>
        <v>#NAME?</v>
      </c>
      <c r="C496" s="3" t="s">
        <v>1272</v>
      </c>
      <c r="D496" s="3">
        <v>32</v>
      </c>
      <c r="E496" s="3" t="s">
        <v>1273</v>
      </c>
    </row>
    <row r="497" spans="1:5" ht="13" hidden="1" x14ac:dyDescent="0.15">
      <c r="A497" s="3" t="s">
        <v>132</v>
      </c>
      <c r="B497" s="3" t="e">
        <f t="array" aca="1" ref="B497" ca="1">_xludf.XLOOKUP(A497,duobahlul_videos!$A$1:$A$52,duobahlul_videos!$B$1:$B$52)</f>
        <v>#NAME?</v>
      </c>
      <c r="C497" s="3" t="s">
        <v>1274</v>
      </c>
      <c r="D497" s="3">
        <v>33</v>
      </c>
      <c r="E497" s="3" t="s">
        <v>1275</v>
      </c>
    </row>
    <row r="498" spans="1:5" ht="13" hidden="1" x14ac:dyDescent="0.15">
      <c r="A498" s="3" t="s">
        <v>132</v>
      </c>
      <c r="B498" s="3" t="e">
        <f t="array" aca="1" ref="B498" ca="1">_xludf.XLOOKUP(A498,duobahlul_videos!$A$1:$A$52,duobahlul_videos!$B$1:$B$52)</f>
        <v>#NAME?</v>
      </c>
      <c r="C498" s="3" t="s">
        <v>1276</v>
      </c>
      <c r="D498" s="3">
        <v>20</v>
      </c>
      <c r="E498" s="3" t="s">
        <v>1277</v>
      </c>
    </row>
    <row r="499" spans="1:5" ht="13" hidden="1" x14ac:dyDescent="0.15">
      <c r="A499" s="3" t="s">
        <v>132</v>
      </c>
      <c r="B499" s="3" t="e">
        <f t="array" aca="1" ref="B499" ca="1">_xludf.XLOOKUP(A499,duobahlul_videos!$A$1:$A$52,duobahlul_videos!$B$1:$B$52)</f>
        <v>#NAME?</v>
      </c>
      <c r="C499" s="3" t="s">
        <v>1278</v>
      </c>
      <c r="D499" s="3">
        <v>55</v>
      </c>
      <c r="E499" s="3" t="s">
        <v>1279</v>
      </c>
    </row>
    <row r="500" spans="1:5" ht="13" hidden="1" x14ac:dyDescent="0.15">
      <c r="A500" s="3" t="s">
        <v>132</v>
      </c>
      <c r="B500" s="3" t="e">
        <f t="array" aca="1" ref="B500" ca="1">_xludf.XLOOKUP(A500,duobahlul_videos!$A$1:$A$52,duobahlul_videos!$B$1:$B$52)</f>
        <v>#NAME?</v>
      </c>
      <c r="C500" s="3" t="s">
        <v>1280</v>
      </c>
      <c r="D500" s="3">
        <v>121</v>
      </c>
      <c r="E500" s="3" t="s">
        <v>1281</v>
      </c>
    </row>
    <row r="501" spans="1:5" ht="13" hidden="1" x14ac:dyDescent="0.15">
      <c r="A501" s="3" t="s">
        <v>132</v>
      </c>
      <c r="B501" s="3" t="e">
        <f t="array" aca="1" ref="B501" ca="1">_xludf.XLOOKUP(A501,duobahlul_videos!$A$1:$A$52,duobahlul_videos!$B$1:$B$52)</f>
        <v>#NAME?</v>
      </c>
      <c r="C501" s="3" t="s">
        <v>1282</v>
      </c>
      <c r="D501" s="3">
        <v>12</v>
      </c>
      <c r="E501" s="3" t="s">
        <v>1283</v>
      </c>
    </row>
    <row r="502" spans="1:5" ht="13" hidden="1" x14ac:dyDescent="0.15">
      <c r="A502" s="3" t="s">
        <v>252</v>
      </c>
      <c r="B502" s="3" t="e">
        <f t="array" aca="1" ref="B502" ca="1">_xludf.XLOOKUP(A502,duobahlul_videos!$A$1:$A$52,duobahlul_videos!$B$1:$B$52)</f>
        <v>#NAME?</v>
      </c>
      <c r="C502" s="3" t="s">
        <v>1284</v>
      </c>
      <c r="D502" s="3">
        <v>93</v>
      </c>
      <c r="E502" s="3" t="s">
        <v>1285</v>
      </c>
    </row>
    <row r="503" spans="1:5" ht="13" hidden="1" x14ac:dyDescent="0.15">
      <c r="A503" s="3" t="s">
        <v>252</v>
      </c>
      <c r="B503" s="3" t="e">
        <f t="array" aca="1" ref="B503" ca="1">_xludf.XLOOKUP(A503,duobahlul_videos!$A$1:$A$52,duobahlul_videos!$B$1:$B$52)</f>
        <v>#NAME?</v>
      </c>
      <c r="C503" s="3" t="s">
        <v>1286</v>
      </c>
      <c r="D503" s="3">
        <v>101</v>
      </c>
      <c r="E503" s="3" t="s">
        <v>1287</v>
      </c>
    </row>
    <row r="504" spans="1:5" ht="13" hidden="1" x14ac:dyDescent="0.15">
      <c r="A504" s="3" t="s">
        <v>252</v>
      </c>
      <c r="B504" s="3" t="e">
        <f t="array" aca="1" ref="B504" ca="1">_xludf.XLOOKUP(A504,duobahlul_videos!$A$1:$A$52,duobahlul_videos!$B$1:$B$52)</f>
        <v>#NAME?</v>
      </c>
      <c r="C504" s="3" t="s">
        <v>1288</v>
      </c>
      <c r="D504" s="3">
        <v>66</v>
      </c>
      <c r="E504" s="3" t="s">
        <v>1289</v>
      </c>
    </row>
    <row r="505" spans="1:5" ht="13" hidden="1" x14ac:dyDescent="0.15">
      <c r="A505" s="3" t="s">
        <v>252</v>
      </c>
      <c r="B505" s="3" t="e">
        <f t="array" aca="1" ref="B505" ca="1">_xludf.XLOOKUP(A505,duobahlul_videos!$A$1:$A$52,duobahlul_videos!$B$1:$B$52)</f>
        <v>#NAME?</v>
      </c>
      <c r="C505" s="3" t="s">
        <v>1290</v>
      </c>
      <c r="D505" s="3">
        <v>18</v>
      </c>
      <c r="E505" s="3" t="s">
        <v>1291</v>
      </c>
    </row>
    <row r="506" spans="1:5" ht="13" hidden="1" x14ac:dyDescent="0.15">
      <c r="A506" s="3" t="s">
        <v>252</v>
      </c>
      <c r="B506" s="3" t="e">
        <f t="array" aca="1" ref="B506" ca="1">_xludf.XLOOKUP(A506,duobahlul_videos!$A$1:$A$52,duobahlul_videos!$B$1:$B$52)</f>
        <v>#NAME?</v>
      </c>
      <c r="C506" s="3" t="s">
        <v>1292</v>
      </c>
      <c r="D506" s="3">
        <v>42</v>
      </c>
      <c r="E506" s="3" t="s">
        <v>1293</v>
      </c>
    </row>
    <row r="507" spans="1:5" ht="13" hidden="1" x14ac:dyDescent="0.15">
      <c r="A507" s="3" t="s">
        <v>252</v>
      </c>
      <c r="B507" s="3" t="e">
        <f t="array" aca="1" ref="B507" ca="1">_xludf.XLOOKUP(A507,duobahlul_videos!$A$1:$A$52,duobahlul_videos!$B$1:$B$52)</f>
        <v>#NAME?</v>
      </c>
      <c r="C507" s="3" t="s">
        <v>1294</v>
      </c>
      <c r="D507" s="3">
        <v>9</v>
      </c>
      <c r="E507" s="3" t="s">
        <v>1295</v>
      </c>
    </row>
    <row r="508" spans="1:5" ht="13" hidden="1" x14ac:dyDescent="0.15">
      <c r="A508" s="3" t="s">
        <v>252</v>
      </c>
      <c r="B508" s="3" t="e">
        <f t="array" aca="1" ref="B508" ca="1">_xludf.XLOOKUP(A508,duobahlul_videos!$A$1:$A$52,duobahlul_videos!$B$1:$B$52)</f>
        <v>#NAME?</v>
      </c>
      <c r="C508" s="3" t="s">
        <v>1296</v>
      </c>
      <c r="D508" s="3">
        <v>5</v>
      </c>
      <c r="E508" s="3" t="s">
        <v>1297</v>
      </c>
    </row>
    <row r="509" spans="1:5" ht="13" hidden="1" x14ac:dyDescent="0.15">
      <c r="A509" s="3" t="s">
        <v>252</v>
      </c>
      <c r="B509" s="3" t="e">
        <f t="array" aca="1" ref="B509" ca="1">_xludf.XLOOKUP(A509,duobahlul_videos!$A$1:$A$52,duobahlul_videos!$B$1:$B$52)</f>
        <v>#NAME?</v>
      </c>
      <c r="C509" s="3" t="s">
        <v>1298</v>
      </c>
      <c r="D509" s="3">
        <v>18</v>
      </c>
      <c r="E509" s="3" t="s">
        <v>1299</v>
      </c>
    </row>
    <row r="510" spans="1:5" ht="13" hidden="1" x14ac:dyDescent="0.15">
      <c r="A510" s="3" t="s">
        <v>252</v>
      </c>
      <c r="B510" s="3" t="e">
        <f t="array" aca="1" ref="B510" ca="1">_xludf.XLOOKUP(A510,duobahlul_videos!$A$1:$A$52,duobahlul_videos!$B$1:$B$52)</f>
        <v>#NAME?</v>
      </c>
      <c r="C510" s="3" t="s">
        <v>1300</v>
      </c>
      <c r="D510" s="3">
        <v>11</v>
      </c>
      <c r="E510" s="3" t="s">
        <v>1301</v>
      </c>
    </row>
    <row r="511" spans="1:5" ht="13" hidden="1" x14ac:dyDescent="0.15">
      <c r="A511" s="3" t="s">
        <v>252</v>
      </c>
      <c r="B511" s="3" t="e">
        <f t="array" aca="1" ref="B511" ca="1">_xludf.XLOOKUP(A511,duobahlul_videos!$A$1:$A$52,duobahlul_videos!$B$1:$B$52)</f>
        <v>#NAME?</v>
      </c>
      <c r="C511" s="3" t="s">
        <v>1302</v>
      </c>
      <c r="D511" s="3">
        <v>4</v>
      </c>
      <c r="E511" s="3" t="s">
        <v>1303</v>
      </c>
    </row>
    <row r="512" spans="1:5" ht="13" hidden="1" x14ac:dyDescent="0.15">
      <c r="A512" s="3" t="s">
        <v>252</v>
      </c>
      <c r="B512" s="3" t="e">
        <f t="array" aca="1" ref="B512" ca="1">_xludf.XLOOKUP(A512,duobahlul_videos!$A$1:$A$52,duobahlul_videos!$B$1:$B$52)</f>
        <v>#NAME?</v>
      </c>
      <c r="C512" s="3" t="s">
        <v>1304</v>
      </c>
      <c r="D512" s="3">
        <v>9</v>
      </c>
      <c r="E512" s="3" t="s">
        <v>1305</v>
      </c>
    </row>
    <row r="513" spans="1:5" ht="13" hidden="1" x14ac:dyDescent="0.15">
      <c r="A513" s="3" t="s">
        <v>252</v>
      </c>
      <c r="B513" s="3" t="e">
        <f t="array" aca="1" ref="B513" ca="1">_xludf.XLOOKUP(A513,duobahlul_videos!$A$1:$A$52,duobahlul_videos!$B$1:$B$52)</f>
        <v>#NAME?</v>
      </c>
      <c r="C513" s="3" t="s">
        <v>1306</v>
      </c>
      <c r="D513" s="3">
        <v>6</v>
      </c>
      <c r="E513" s="3" t="s">
        <v>1307</v>
      </c>
    </row>
    <row r="514" spans="1:5" ht="13" hidden="1" x14ac:dyDescent="0.15">
      <c r="A514" s="3" t="s">
        <v>252</v>
      </c>
      <c r="B514" s="3" t="e">
        <f t="array" aca="1" ref="B514" ca="1">_xludf.XLOOKUP(A514,duobahlul_videos!$A$1:$A$52,duobahlul_videos!$B$1:$B$52)</f>
        <v>#NAME?</v>
      </c>
      <c r="C514" s="3" t="s">
        <v>1308</v>
      </c>
      <c r="D514" s="3">
        <v>9</v>
      </c>
      <c r="E514" s="3" t="s">
        <v>1309</v>
      </c>
    </row>
    <row r="515" spans="1:5" ht="13" hidden="1" x14ac:dyDescent="0.15">
      <c r="A515" s="3" t="s">
        <v>252</v>
      </c>
      <c r="B515" s="3" t="e">
        <f t="array" aca="1" ref="B515" ca="1">_xludf.XLOOKUP(A515,duobahlul_videos!$A$1:$A$52,duobahlul_videos!$B$1:$B$52)</f>
        <v>#NAME?</v>
      </c>
      <c r="C515" s="3" t="s">
        <v>1310</v>
      </c>
      <c r="D515" s="3">
        <v>5</v>
      </c>
      <c r="E515" s="3" t="s">
        <v>1311</v>
      </c>
    </row>
    <row r="516" spans="1:5" ht="13" hidden="1" x14ac:dyDescent="0.15">
      <c r="A516" s="3" t="s">
        <v>252</v>
      </c>
      <c r="B516" s="3" t="e">
        <f t="array" aca="1" ref="B516" ca="1">_xludf.XLOOKUP(A516,duobahlul_videos!$A$1:$A$52,duobahlul_videos!$B$1:$B$52)</f>
        <v>#NAME?</v>
      </c>
      <c r="C516" s="3" t="s">
        <v>1312</v>
      </c>
      <c r="D516" s="3">
        <v>6</v>
      </c>
      <c r="E516" s="3" t="s">
        <v>1313</v>
      </c>
    </row>
    <row r="517" spans="1:5" ht="13" hidden="1" x14ac:dyDescent="0.15">
      <c r="A517" s="3" t="s">
        <v>252</v>
      </c>
      <c r="B517" s="3" t="e">
        <f t="array" aca="1" ref="B517" ca="1">_xludf.XLOOKUP(A517,duobahlul_videos!$A$1:$A$52,duobahlul_videos!$B$1:$B$52)</f>
        <v>#NAME?</v>
      </c>
      <c r="C517" s="3" t="s">
        <v>1314</v>
      </c>
      <c r="D517" s="3">
        <v>17</v>
      </c>
      <c r="E517" s="3" t="s">
        <v>1315</v>
      </c>
    </row>
    <row r="518" spans="1:5" ht="13" hidden="1" x14ac:dyDescent="0.15">
      <c r="A518" s="3" t="s">
        <v>252</v>
      </c>
      <c r="B518" s="3" t="e">
        <f t="array" aca="1" ref="B518" ca="1">_xludf.XLOOKUP(A518,duobahlul_videos!$A$1:$A$52,duobahlul_videos!$B$1:$B$52)</f>
        <v>#NAME?</v>
      </c>
      <c r="C518" s="3" t="s">
        <v>1316</v>
      </c>
      <c r="D518" s="3">
        <v>3</v>
      </c>
      <c r="E518" s="3" t="s">
        <v>1317</v>
      </c>
    </row>
    <row r="519" spans="1:5" ht="13" hidden="1" x14ac:dyDescent="0.15">
      <c r="A519" s="3" t="s">
        <v>252</v>
      </c>
      <c r="B519" s="3" t="e">
        <f t="array" aca="1" ref="B519" ca="1">_xludf.XLOOKUP(A519,duobahlul_videos!$A$1:$A$52,duobahlul_videos!$B$1:$B$52)</f>
        <v>#NAME?</v>
      </c>
      <c r="C519" s="3" t="s">
        <v>1318</v>
      </c>
      <c r="D519" s="3">
        <v>4</v>
      </c>
      <c r="E519" s="3" t="s">
        <v>1319</v>
      </c>
    </row>
    <row r="520" spans="1:5" ht="13" hidden="1" x14ac:dyDescent="0.15">
      <c r="A520" s="3" t="s">
        <v>252</v>
      </c>
      <c r="B520" s="3" t="e">
        <f t="array" aca="1" ref="B520" ca="1">_xludf.XLOOKUP(A520,duobahlul_videos!$A$1:$A$52,duobahlul_videos!$B$1:$B$52)</f>
        <v>#NAME?</v>
      </c>
      <c r="C520" s="3" t="s">
        <v>1320</v>
      </c>
      <c r="D520" s="3">
        <v>5</v>
      </c>
      <c r="E520" s="3" t="s">
        <v>1321</v>
      </c>
    </row>
    <row r="521" spans="1:5" ht="13" hidden="1" x14ac:dyDescent="0.15">
      <c r="A521" s="3" t="s">
        <v>252</v>
      </c>
      <c r="B521" s="3" t="e">
        <f t="array" aca="1" ref="B521" ca="1">_xludf.XLOOKUP(A521,duobahlul_videos!$A$1:$A$52,duobahlul_videos!$B$1:$B$52)</f>
        <v>#NAME?</v>
      </c>
      <c r="C521" s="3" t="s">
        <v>1322</v>
      </c>
      <c r="D521" s="3">
        <v>10</v>
      </c>
      <c r="E521" s="3" t="s">
        <v>1323</v>
      </c>
    </row>
    <row r="522" spans="1:5" ht="13" hidden="1" x14ac:dyDescent="0.15">
      <c r="A522" s="3" t="s">
        <v>218</v>
      </c>
      <c r="B522" s="3" t="e">
        <f t="array" aca="1" ref="B522" ca="1">_xludf.XLOOKUP(A522,duobahlul_videos!$A$1:$A$52,duobahlul_videos!$B$1:$B$52)</f>
        <v>#NAME?</v>
      </c>
      <c r="C522" s="3" t="s">
        <v>1324</v>
      </c>
      <c r="D522" s="3">
        <v>107</v>
      </c>
      <c r="E522" s="3" t="s">
        <v>1325</v>
      </c>
    </row>
    <row r="523" spans="1:5" ht="13" hidden="1" x14ac:dyDescent="0.15">
      <c r="A523" s="3" t="s">
        <v>218</v>
      </c>
      <c r="B523" s="3" t="e">
        <f t="array" aca="1" ref="B523" ca="1">_xludf.XLOOKUP(A523,duobahlul_videos!$A$1:$A$52,duobahlul_videos!$B$1:$B$52)</f>
        <v>#NAME?</v>
      </c>
      <c r="C523" s="3" t="s">
        <v>1326</v>
      </c>
      <c r="D523" s="3">
        <v>38</v>
      </c>
      <c r="E523" s="3" t="s">
        <v>1327</v>
      </c>
    </row>
    <row r="524" spans="1:5" ht="13" hidden="1" x14ac:dyDescent="0.15">
      <c r="A524" s="3" t="s">
        <v>218</v>
      </c>
      <c r="B524" s="3" t="e">
        <f t="array" aca="1" ref="B524" ca="1">_xludf.XLOOKUP(A524,duobahlul_videos!$A$1:$A$52,duobahlul_videos!$B$1:$B$52)</f>
        <v>#NAME?</v>
      </c>
      <c r="C524" s="3" t="s">
        <v>1328</v>
      </c>
      <c r="D524" s="3">
        <v>41</v>
      </c>
      <c r="E524" s="3" t="s">
        <v>1329</v>
      </c>
    </row>
    <row r="525" spans="1:5" ht="13" hidden="1" x14ac:dyDescent="0.15">
      <c r="A525" s="3" t="s">
        <v>218</v>
      </c>
      <c r="B525" s="3" t="e">
        <f t="array" aca="1" ref="B525" ca="1">_xludf.XLOOKUP(A525,duobahlul_videos!$A$1:$A$52,duobahlul_videos!$B$1:$B$52)</f>
        <v>#NAME?</v>
      </c>
      <c r="C525" s="3" t="s">
        <v>1330</v>
      </c>
      <c r="D525" s="3">
        <v>42</v>
      </c>
      <c r="E525" s="3" t="s">
        <v>1331</v>
      </c>
    </row>
    <row r="526" spans="1:5" ht="13" hidden="1" x14ac:dyDescent="0.15">
      <c r="A526" s="3" t="s">
        <v>218</v>
      </c>
      <c r="B526" s="3" t="e">
        <f t="array" aca="1" ref="B526" ca="1">_xludf.XLOOKUP(A526,duobahlul_videos!$A$1:$A$52,duobahlul_videos!$B$1:$B$52)</f>
        <v>#NAME?</v>
      </c>
      <c r="C526" s="3" t="s">
        <v>1332</v>
      </c>
      <c r="D526" s="3">
        <v>13</v>
      </c>
      <c r="E526" s="3" t="s">
        <v>1333</v>
      </c>
    </row>
    <row r="527" spans="1:5" ht="13" hidden="1" x14ac:dyDescent="0.15">
      <c r="A527" s="3" t="s">
        <v>218</v>
      </c>
      <c r="B527" s="3" t="e">
        <f t="array" aca="1" ref="B527" ca="1">_xludf.XLOOKUP(A527,duobahlul_videos!$A$1:$A$52,duobahlul_videos!$B$1:$B$52)</f>
        <v>#NAME?</v>
      </c>
      <c r="C527" s="3" t="s">
        <v>1334</v>
      </c>
      <c r="D527" s="3">
        <v>57</v>
      </c>
      <c r="E527" s="3" t="s">
        <v>1335</v>
      </c>
    </row>
    <row r="528" spans="1:5" ht="13" hidden="1" x14ac:dyDescent="0.15">
      <c r="A528" s="3" t="s">
        <v>218</v>
      </c>
      <c r="B528" s="3" t="e">
        <f t="array" aca="1" ref="B528" ca="1">_xludf.XLOOKUP(A528,duobahlul_videos!$A$1:$A$52,duobahlul_videos!$B$1:$B$52)</f>
        <v>#NAME?</v>
      </c>
      <c r="C528" s="3" t="s">
        <v>1336</v>
      </c>
      <c r="D528" s="3">
        <v>11</v>
      </c>
      <c r="E528" s="3" t="s">
        <v>1337</v>
      </c>
    </row>
    <row r="529" spans="1:5" ht="13" hidden="1" x14ac:dyDescent="0.15">
      <c r="A529" s="3" t="s">
        <v>218</v>
      </c>
      <c r="B529" s="3" t="e">
        <f t="array" aca="1" ref="B529" ca="1">_xludf.XLOOKUP(A529,duobahlul_videos!$A$1:$A$52,duobahlul_videos!$B$1:$B$52)</f>
        <v>#NAME?</v>
      </c>
      <c r="C529" s="3" t="s">
        <v>1338</v>
      </c>
      <c r="D529" s="3">
        <v>14</v>
      </c>
      <c r="E529" s="3" t="s">
        <v>1339</v>
      </c>
    </row>
    <row r="530" spans="1:5" ht="13" hidden="1" x14ac:dyDescent="0.15">
      <c r="A530" s="3" t="s">
        <v>218</v>
      </c>
      <c r="B530" s="3" t="e">
        <f t="array" aca="1" ref="B530" ca="1">_xludf.XLOOKUP(A530,duobahlul_videos!$A$1:$A$52,duobahlul_videos!$B$1:$B$52)</f>
        <v>#NAME?</v>
      </c>
      <c r="C530" s="3" t="s">
        <v>1340</v>
      </c>
      <c r="D530" s="3">
        <v>10</v>
      </c>
      <c r="E530" s="3" t="s">
        <v>1341</v>
      </c>
    </row>
    <row r="531" spans="1:5" ht="13" hidden="1" x14ac:dyDescent="0.15">
      <c r="A531" s="3" t="s">
        <v>218</v>
      </c>
      <c r="B531" s="3" t="e">
        <f t="array" aca="1" ref="B531" ca="1">_xludf.XLOOKUP(A531,duobahlul_videos!$A$1:$A$52,duobahlul_videos!$B$1:$B$52)</f>
        <v>#NAME?</v>
      </c>
      <c r="C531" s="3" t="s">
        <v>1342</v>
      </c>
      <c r="D531" s="3">
        <v>28</v>
      </c>
      <c r="E531" s="3" t="s">
        <v>1343</v>
      </c>
    </row>
    <row r="532" spans="1:5" ht="13" hidden="1" x14ac:dyDescent="0.15">
      <c r="A532" s="3" t="s">
        <v>218</v>
      </c>
      <c r="B532" s="3" t="e">
        <f t="array" aca="1" ref="B532" ca="1">_xludf.XLOOKUP(A532,duobahlul_videos!$A$1:$A$52,duobahlul_videos!$B$1:$B$52)</f>
        <v>#NAME?</v>
      </c>
      <c r="C532" s="3" t="s">
        <v>1344</v>
      </c>
      <c r="D532" s="3">
        <v>14</v>
      </c>
      <c r="E532" s="3" t="s">
        <v>1345</v>
      </c>
    </row>
    <row r="533" spans="1:5" ht="13" hidden="1" x14ac:dyDescent="0.15">
      <c r="A533" s="3" t="s">
        <v>218</v>
      </c>
      <c r="B533" s="3" t="e">
        <f t="array" aca="1" ref="B533" ca="1">_xludf.XLOOKUP(A533,duobahlul_videos!$A$1:$A$52,duobahlul_videos!$B$1:$B$52)</f>
        <v>#NAME?</v>
      </c>
      <c r="C533" s="3" t="s">
        <v>1346</v>
      </c>
      <c r="D533" s="3">
        <v>6</v>
      </c>
      <c r="E533" s="3" t="s">
        <v>1347</v>
      </c>
    </row>
    <row r="534" spans="1:5" ht="13" hidden="1" x14ac:dyDescent="0.15">
      <c r="A534" s="3" t="s">
        <v>218</v>
      </c>
      <c r="B534" s="3" t="e">
        <f t="array" aca="1" ref="B534" ca="1">_xludf.XLOOKUP(A534,duobahlul_videos!$A$1:$A$52,duobahlul_videos!$B$1:$B$52)</f>
        <v>#NAME?</v>
      </c>
      <c r="C534" s="3" t="s">
        <v>1348</v>
      </c>
      <c r="D534" s="3">
        <v>4</v>
      </c>
      <c r="E534" s="3" t="s">
        <v>1349</v>
      </c>
    </row>
    <row r="535" spans="1:5" ht="13" hidden="1" x14ac:dyDescent="0.15">
      <c r="A535" s="3" t="s">
        <v>218</v>
      </c>
      <c r="B535" s="3" t="e">
        <f t="array" aca="1" ref="B535" ca="1">_xludf.XLOOKUP(A535,duobahlul_videos!$A$1:$A$52,duobahlul_videos!$B$1:$B$52)</f>
        <v>#NAME?</v>
      </c>
      <c r="C535" s="3" t="s">
        <v>1350</v>
      </c>
      <c r="D535" s="3">
        <v>7</v>
      </c>
      <c r="E535" s="3" t="s">
        <v>1351</v>
      </c>
    </row>
    <row r="536" spans="1:5" ht="13" hidden="1" x14ac:dyDescent="0.15">
      <c r="A536" s="3" t="s">
        <v>218</v>
      </c>
      <c r="B536" s="3" t="e">
        <f t="array" aca="1" ref="B536" ca="1">_xludf.XLOOKUP(A536,duobahlul_videos!$A$1:$A$52,duobahlul_videos!$B$1:$B$52)</f>
        <v>#NAME?</v>
      </c>
      <c r="C536" s="3" t="s">
        <v>1352</v>
      </c>
      <c r="D536" s="3">
        <v>4</v>
      </c>
      <c r="E536" s="3" t="s">
        <v>1353</v>
      </c>
    </row>
    <row r="537" spans="1:5" ht="13" hidden="1" x14ac:dyDescent="0.15">
      <c r="A537" s="3" t="s">
        <v>218</v>
      </c>
      <c r="B537" s="3" t="e">
        <f t="array" aca="1" ref="B537" ca="1">_xludf.XLOOKUP(A537,duobahlul_videos!$A$1:$A$52,duobahlul_videos!$B$1:$B$52)</f>
        <v>#NAME?</v>
      </c>
      <c r="C537" s="3" t="s">
        <v>1354</v>
      </c>
      <c r="D537" s="3">
        <v>3</v>
      </c>
      <c r="E537" s="3" t="s">
        <v>1355</v>
      </c>
    </row>
    <row r="538" spans="1:5" ht="13" hidden="1" x14ac:dyDescent="0.15">
      <c r="A538" s="3" t="s">
        <v>218</v>
      </c>
      <c r="B538" s="3" t="e">
        <f t="array" aca="1" ref="B538" ca="1">_xludf.XLOOKUP(A538,duobahlul_videos!$A$1:$A$52,duobahlul_videos!$B$1:$B$52)</f>
        <v>#NAME?</v>
      </c>
      <c r="C538" s="3" t="s">
        <v>1356</v>
      </c>
      <c r="D538" s="3">
        <v>3</v>
      </c>
      <c r="E538" s="3" t="s">
        <v>1357</v>
      </c>
    </row>
    <row r="539" spans="1:5" ht="13" hidden="1" x14ac:dyDescent="0.15">
      <c r="A539" s="3" t="s">
        <v>218</v>
      </c>
      <c r="B539" s="3" t="e">
        <f t="array" aca="1" ref="B539" ca="1">_xludf.XLOOKUP(A539,duobahlul_videos!$A$1:$A$52,duobahlul_videos!$B$1:$B$52)</f>
        <v>#NAME?</v>
      </c>
      <c r="C539" s="3" t="s">
        <v>1358</v>
      </c>
      <c r="D539" s="3">
        <v>5</v>
      </c>
      <c r="E539" s="3" t="s">
        <v>1359</v>
      </c>
    </row>
    <row r="540" spans="1:5" ht="13" hidden="1" x14ac:dyDescent="0.15">
      <c r="A540" s="3" t="s">
        <v>218</v>
      </c>
      <c r="B540" s="3" t="e">
        <f t="array" aca="1" ref="B540" ca="1">_xludf.XLOOKUP(A540,duobahlul_videos!$A$1:$A$52,duobahlul_videos!$B$1:$B$52)</f>
        <v>#NAME?</v>
      </c>
      <c r="C540" s="3" t="s">
        <v>1360</v>
      </c>
      <c r="D540" s="3">
        <v>1</v>
      </c>
      <c r="E540" s="3" t="s">
        <v>1361</v>
      </c>
    </row>
    <row r="541" spans="1:5" ht="13" hidden="1" x14ac:dyDescent="0.15">
      <c r="A541" s="3" t="s">
        <v>218</v>
      </c>
      <c r="B541" s="3" t="e">
        <f t="array" aca="1" ref="B541" ca="1">_xludf.XLOOKUP(A541,duobahlul_videos!$A$1:$A$52,duobahlul_videos!$B$1:$B$52)</f>
        <v>#NAME?</v>
      </c>
      <c r="C541" s="3" t="s">
        <v>1362</v>
      </c>
      <c r="D541" s="3">
        <v>4</v>
      </c>
      <c r="E541" s="3" t="s">
        <v>1363</v>
      </c>
    </row>
    <row r="542" spans="1:5" ht="13" hidden="1" x14ac:dyDescent="0.15">
      <c r="A542" s="3" t="s">
        <v>117</v>
      </c>
      <c r="B542" s="3" t="e">
        <f t="array" aca="1" ref="B542" ca="1">_xludf.XLOOKUP(A542,duobahlul_videos!$A$1:$A$52,duobahlul_videos!$B$1:$B$52)</f>
        <v>#NAME?</v>
      </c>
      <c r="C542" s="3" t="s">
        <v>1364</v>
      </c>
      <c r="D542" s="3">
        <v>158</v>
      </c>
      <c r="E542" s="3" t="s">
        <v>1365</v>
      </c>
    </row>
    <row r="543" spans="1:5" ht="13" hidden="1" x14ac:dyDescent="0.15">
      <c r="A543" s="3" t="s">
        <v>117</v>
      </c>
      <c r="B543" s="3" t="e">
        <f t="array" aca="1" ref="B543" ca="1">_xludf.XLOOKUP(A543,duobahlul_videos!$A$1:$A$52,duobahlul_videos!$B$1:$B$52)</f>
        <v>#NAME?</v>
      </c>
      <c r="C543" s="3" t="s">
        <v>1366</v>
      </c>
      <c r="D543" s="3">
        <v>90</v>
      </c>
      <c r="E543" s="3" t="s">
        <v>1367</v>
      </c>
    </row>
    <row r="544" spans="1:5" ht="13" hidden="1" x14ac:dyDescent="0.15">
      <c r="A544" s="3" t="s">
        <v>117</v>
      </c>
      <c r="B544" s="3" t="e">
        <f t="array" aca="1" ref="B544" ca="1">_xludf.XLOOKUP(A544,duobahlul_videos!$A$1:$A$52,duobahlul_videos!$B$1:$B$52)</f>
        <v>#NAME?</v>
      </c>
      <c r="C544" s="3" t="s">
        <v>1368</v>
      </c>
      <c r="D544" s="3">
        <v>126</v>
      </c>
      <c r="E544" s="3" t="s">
        <v>1369</v>
      </c>
    </row>
    <row r="545" spans="1:5" ht="13" hidden="1" x14ac:dyDescent="0.15">
      <c r="A545" s="3" t="s">
        <v>117</v>
      </c>
      <c r="B545" s="3" t="e">
        <f t="array" aca="1" ref="B545" ca="1">_xludf.XLOOKUP(A545,duobahlul_videos!$A$1:$A$52,duobahlul_videos!$B$1:$B$52)</f>
        <v>#NAME?</v>
      </c>
      <c r="C545" s="3" t="s">
        <v>1370</v>
      </c>
      <c r="D545" s="3">
        <v>50</v>
      </c>
      <c r="E545" s="3" t="s">
        <v>1371</v>
      </c>
    </row>
    <row r="546" spans="1:5" ht="13" hidden="1" x14ac:dyDescent="0.15">
      <c r="A546" s="3" t="s">
        <v>117</v>
      </c>
      <c r="B546" s="3" t="e">
        <f t="array" aca="1" ref="B546" ca="1">_xludf.XLOOKUP(A546,duobahlul_videos!$A$1:$A$52,duobahlul_videos!$B$1:$B$52)</f>
        <v>#NAME?</v>
      </c>
      <c r="C546" s="3" t="s">
        <v>1372</v>
      </c>
      <c r="D546" s="3">
        <v>8</v>
      </c>
      <c r="E546" s="3" t="s">
        <v>1373</v>
      </c>
    </row>
    <row r="547" spans="1:5" ht="13" hidden="1" x14ac:dyDescent="0.15">
      <c r="A547" s="3" t="s">
        <v>117</v>
      </c>
      <c r="B547" s="3" t="e">
        <f t="array" aca="1" ref="B547" ca="1">_xludf.XLOOKUP(A547,duobahlul_videos!$A$1:$A$52,duobahlul_videos!$B$1:$B$52)</f>
        <v>#NAME?</v>
      </c>
      <c r="C547" s="3" t="s">
        <v>1374</v>
      </c>
      <c r="D547" s="3">
        <v>355</v>
      </c>
      <c r="E547" s="3" t="s">
        <v>1375</v>
      </c>
    </row>
    <row r="548" spans="1:5" ht="13" hidden="1" x14ac:dyDescent="0.15">
      <c r="A548" s="3" t="s">
        <v>117</v>
      </c>
      <c r="B548" s="3" t="e">
        <f t="array" aca="1" ref="B548" ca="1">_xludf.XLOOKUP(A548,duobahlul_videos!$A$1:$A$52,duobahlul_videos!$B$1:$B$52)</f>
        <v>#NAME?</v>
      </c>
      <c r="C548" s="3" t="s">
        <v>1376</v>
      </c>
      <c r="D548" s="3">
        <v>4</v>
      </c>
      <c r="E548" s="3" t="s">
        <v>1377</v>
      </c>
    </row>
    <row r="549" spans="1:5" ht="13" hidden="1" x14ac:dyDescent="0.15">
      <c r="A549" s="3" t="s">
        <v>117</v>
      </c>
      <c r="B549" s="3" t="e">
        <f t="array" aca="1" ref="B549" ca="1">_xludf.XLOOKUP(A549,duobahlul_videos!$A$1:$A$52,duobahlul_videos!$B$1:$B$52)</f>
        <v>#NAME?</v>
      </c>
      <c r="C549" s="3" t="s">
        <v>1378</v>
      </c>
      <c r="D549" s="3">
        <v>19</v>
      </c>
      <c r="E549" s="3" t="s">
        <v>1379</v>
      </c>
    </row>
    <row r="550" spans="1:5" ht="13" hidden="1" x14ac:dyDescent="0.15">
      <c r="A550" s="3" t="s">
        <v>117</v>
      </c>
      <c r="B550" s="3" t="e">
        <f t="array" aca="1" ref="B550" ca="1">_xludf.XLOOKUP(A550,duobahlul_videos!$A$1:$A$52,duobahlul_videos!$B$1:$B$52)</f>
        <v>#NAME?</v>
      </c>
      <c r="C550" s="3" t="s">
        <v>1380</v>
      </c>
      <c r="D550" s="3">
        <v>82</v>
      </c>
      <c r="E550" s="3" t="s">
        <v>1381</v>
      </c>
    </row>
    <row r="551" spans="1:5" ht="13" hidden="1" x14ac:dyDescent="0.15">
      <c r="A551" s="3" t="s">
        <v>117</v>
      </c>
      <c r="B551" s="3" t="e">
        <f t="array" aca="1" ref="B551" ca="1">_xludf.XLOOKUP(A551,duobahlul_videos!$A$1:$A$52,duobahlul_videos!$B$1:$B$52)</f>
        <v>#NAME?</v>
      </c>
      <c r="C551" s="3" t="s">
        <v>1382</v>
      </c>
      <c r="D551" s="3">
        <v>79</v>
      </c>
      <c r="E551" s="3" t="s">
        <v>1383</v>
      </c>
    </row>
    <row r="552" spans="1:5" ht="13" hidden="1" x14ac:dyDescent="0.15">
      <c r="A552" s="3" t="s">
        <v>117</v>
      </c>
      <c r="B552" s="3" t="e">
        <f t="array" aca="1" ref="B552" ca="1">_xludf.XLOOKUP(A552,duobahlul_videos!$A$1:$A$52,duobahlul_videos!$B$1:$B$52)</f>
        <v>#NAME?</v>
      </c>
      <c r="C552" s="3" t="s">
        <v>1384</v>
      </c>
      <c r="D552" s="3">
        <v>46</v>
      </c>
      <c r="E552" s="3" t="s">
        <v>1385</v>
      </c>
    </row>
    <row r="553" spans="1:5" ht="13" hidden="1" x14ac:dyDescent="0.15">
      <c r="A553" s="3" t="s">
        <v>117</v>
      </c>
      <c r="B553" s="3" t="e">
        <f t="array" aca="1" ref="B553" ca="1">_xludf.XLOOKUP(A553,duobahlul_videos!$A$1:$A$52,duobahlul_videos!$B$1:$B$52)</f>
        <v>#NAME?</v>
      </c>
      <c r="C553" s="3" t="s">
        <v>1386</v>
      </c>
      <c r="D553" s="3">
        <v>36</v>
      </c>
      <c r="E553" s="3" t="s">
        <v>1387</v>
      </c>
    </row>
    <row r="554" spans="1:5" ht="13" hidden="1" x14ac:dyDescent="0.15">
      <c r="A554" s="3" t="s">
        <v>117</v>
      </c>
      <c r="B554" s="3" t="e">
        <f t="array" aca="1" ref="B554" ca="1">_xludf.XLOOKUP(A554,duobahlul_videos!$A$1:$A$52,duobahlul_videos!$B$1:$B$52)</f>
        <v>#NAME?</v>
      </c>
      <c r="C554" s="3" t="s">
        <v>1388</v>
      </c>
      <c r="D554" s="3">
        <v>43</v>
      </c>
      <c r="E554" s="3" t="s">
        <v>1389</v>
      </c>
    </row>
    <row r="555" spans="1:5" ht="13" hidden="1" x14ac:dyDescent="0.15">
      <c r="A555" s="3" t="s">
        <v>117</v>
      </c>
      <c r="B555" s="3" t="e">
        <f t="array" aca="1" ref="B555" ca="1">_xludf.XLOOKUP(A555,duobahlul_videos!$A$1:$A$52,duobahlul_videos!$B$1:$B$52)</f>
        <v>#NAME?</v>
      </c>
      <c r="C555" s="3" t="s">
        <v>1390</v>
      </c>
      <c r="D555" s="3">
        <v>22</v>
      </c>
      <c r="E555" s="3" t="s">
        <v>1391</v>
      </c>
    </row>
    <row r="556" spans="1:5" ht="13" hidden="1" x14ac:dyDescent="0.15">
      <c r="A556" s="3" t="s">
        <v>117</v>
      </c>
      <c r="B556" s="3" t="e">
        <f t="array" aca="1" ref="B556" ca="1">_xludf.XLOOKUP(A556,duobahlul_videos!$A$1:$A$52,duobahlul_videos!$B$1:$B$52)</f>
        <v>#NAME?</v>
      </c>
      <c r="C556" s="3" t="s">
        <v>1392</v>
      </c>
      <c r="D556" s="3">
        <v>17</v>
      </c>
      <c r="E556" s="3" t="s">
        <v>1393</v>
      </c>
    </row>
    <row r="557" spans="1:5" ht="13" hidden="1" x14ac:dyDescent="0.15">
      <c r="A557" s="3" t="s">
        <v>117</v>
      </c>
      <c r="B557" s="3" t="e">
        <f t="array" aca="1" ref="B557" ca="1">_xludf.XLOOKUP(A557,duobahlul_videos!$A$1:$A$52,duobahlul_videos!$B$1:$B$52)</f>
        <v>#NAME?</v>
      </c>
      <c r="C557" s="3" t="s">
        <v>1394</v>
      </c>
      <c r="D557" s="3">
        <v>26</v>
      </c>
      <c r="E557" s="3" t="s">
        <v>1395</v>
      </c>
    </row>
    <row r="558" spans="1:5" ht="13" hidden="1" x14ac:dyDescent="0.15">
      <c r="A558" s="3" t="s">
        <v>117</v>
      </c>
      <c r="B558" s="3" t="e">
        <f t="array" aca="1" ref="B558" ca="1">_xludf.XLOOKUP(A558,duobahlul_videos!$A$1:$A$52,duobahlul_videos!$B$1:$B$52)</f>
        <v>#NAME?</v>
      </c>
      <c r="C558" s="3" t="s">
        <v>1396</v>
      </c>
      <c r="D558" s="3">
        <v>22</v>
      </c>
      <c r="E558" s="3" t="s">
        <v>1397</v>
      </c>
    </row>
    <row r="559" spans="1:5" ht="13" hidden="1" x14ac:dyDescent="0.15">
      <c r="A559" s="3" t="s">
        <v>117</v>
      </c>
      <c r="B559" s="3" t="e">
        <f t="array" aca="1" ref="B559" ca="1">_xludf.XLOOKUP(A559,duobahlul_videos!$A$1:$A$52,duobahlul_videos!$B$1:$B$52)</f>
        <v>#NAME?</v>
      </c>
      <c r="C559" s="3" t="s">
        <v>1398</v>
      </c>
      <c r="D559" s="3">
        <v>19</v>
      </c>
      <c r="E559" s="3" t="s">
        <v>1399</v>
      </c>
    </row>
    <row r="560" spans="1:5" ht="13" hidden="1" x14ac:dyDescent="0.15">
      <c r="A560" s="3" t="s">
        <v>117</v>
      </c>
      <c r="B560" s="3" t="e">
        <f t="array" aca="1" ref="B560" ca="1">_xludf.XLOOKUP(A560,duobahlul_videos!$A$1:$A$52,duobahlul_videos!$B$1:$B$52)</f>
        <v>#NAME?</v>
      </c>
      <c r="C560" s="3" t="s">
        <v>1400</v>
      </c>
      <c r="D560" s="3">
        <v>8</v>
      </c>
      <c r="E560" s="3" t="s">
        <v>1401</v>
      </c>
    </row>
    <row r="561" spans="1:5" ht="13" hidden="1" x14ac:dyDescent="0.15">
      <c r="A561" s="3" t="s">
        <v>117</v>
      </c>
      <c r="B561" s="3" t="e">
        <f t="array" aca="1" ref="B561" ca="1">_xludf.XLOOKUP(A561,duobahlul_videos!$A$1:$A$52,duobahlul_videos!$B$1:$B$52)</f>
        <v>#NAME?</v>
      </c>
      <c r="C561" s="3" t="s">
        <v>1402</v>
      </c>
      <c r="D561" s="3">
        <v>32</v>
      </c>
      <c r="E561" s="3" t="s">
        <v>1403</v>
      </c>
    </row>
    <row r="562" spans="1:5" ht="13" hidden="1" x14ac:dyDescent="0.15">
      <c r="A562" s="3" t="s">
        <v>75</v>
      </c>
      <c r="B562" s="3" t="e">
        <f t="array" aca="1" ref="B562" ca="1">_xludf.XLOOKUP(A562,duobahlul_videos!$A$1:$A$52,duobahlul_videos!$B$1:$B$52)</f>
        <v>#NAME?</v>
      </c>
      <c r="C562" s="3" t="s">
        <v>1404</v>
      </c>
      <c r="D562" s="3">
        <v>147</v>
      </c>
      <c r="E562" s="3" t="s">
        <v>1405</v>
      </c>
    </row>
    <row r="563" spans="1:5" ht="13" hidden="1" x14ac:dyDescent="0.15">
      <c r="A563" s="3" t="s">
        <v>75</v>
      </c>
      <c r="B563" s="3" t="e">
        <f t="array" aca="1" ref="B563" ca="1">_xludf.XLOOKUP(A563,duobahlul_videos!$A$1:$A$52,duobahlul_videos!$B$1:$B$52)</f>
        <v>#NAME?</v>
      </c>
      <c r="C563" s="3" t="s">
        <v>1406</v>
      </c>
      <c r="D563" s="3">
        <v>288</v>
      </c>
      <c r="E563" s="3" t="s">
        <v>1407</v>
      </c>
    </row>
    <row r="564" spans="1:5" ht="13" hidden="1" x14ac:dyDescent="0.15">
      <c r="A564" s="3" t="s">
        <v>75</v>
      </c>
      <c r="B564" s="3" t="e">
        <f t="array" aca="1" ref="B564" ca="1">_xludf.XLOOKUP(A564,duobahlul_videos!$A$1:$A$52,duobahlul_videos!$B$1:$B$52)</f>
        <v>#NAME?</v>
      </c>
      <c r="C564" s="3" t="s">
        <v>1408</v>
      </c>
      <c r="D564" s="3">
        <v>190</v>
      </c>
      <c r="E564" s="3" t="s">
        <v>1409</v>
      </c>
    </row>
    <row r="565" spans="1:5" ht="13" hidden="1" x14ac:dyDescent="0.15">
      <c r="A565" s="3" t="s">
        <v>75</v>
      </c>
      <c r="B565" s="3" t="e">
        <f t="array" aca="1" ref="B565" ca="1">_xludf.XLOOKUP(A565,duobahlul_videos!$A$1:$A$52,duobahlul_videos!$B$1:$B$52)</f>
        <v>#NAME?</v>
      </c>
      <c r="C565" s="3" t="s">
        <v>1410</v>
      </c>
      <c r="D565" s="3">
        <v>62</v>
      </c>
      <c r="E565" s="3" t="s">
        <v>1411</v>
      </c>
    </row>
    <row r="566" spans="1:5" ht="13" hidden="1" x14ac:dyDescent="0.15">
      <c r="A566" s="3" t="s">
        <v>75</v>
      </c>
      <c r="B566" s="3" t="e">
        <f t="array" aca="1" ref="B566" ca="1">_xludf.XLOOKUP(A566,duobahlul_videos!$A$1:$A$52,duobahlul_videos!$B$1:$B$52)</f>
        <v>#NAME?</v>
      </c>
      <c r="C566" s="3" t="s">
        <v>1412</v>
      </c>
      <c r="D566" s="3">
        <v>41</v>
      </c>
      <c r="E566" s="3" t="s">
        <v>1413</v>
      </c>
    </row>
    <row r="567" spans="1:5" ht="13" hidden="1" x14ac:dyDescent="0.15">
      <c r="A567" s="3" t="s">
        <v>75</v>
      </c>
      <c r="B567" s="3" t="e">
        <f t="array" aca="1" ref="B567" ca="1">_xludf.XLOOKUP(A567,duobahlul_videos!$A$1:$A$52,duobahlul_videos!$B$1:$B$52)</f>
        <v>#NAME?</v>
      </c>
      <c r="C567" s="3" t="s">
        <v>1414</v>
      </c>
      <c r="D567" s="3">
        <v>70</v>
      </c>
      <c r="E567" s="3" t="s">
        <v>1415</v>
      </c>
    </row>
    <row r="568" spans="1:5" ht="13" hidden="1" x14ac:dyDescent="0.15">
      <c r="A568" s="3" t="s">
        <v>75</v>
      </c>
      <c r="B568" s="3" t="e">
        <f t="array" aca="1" ref="B568" ca="1">_xludf.XLOOKUP(A568,duobahlul_videos!$A$1:$A$52,duobahlul_videos!$B$1:$B$52)</f>
        <v>#NAME?</v>
      </c>
      <c r="C568" s="3" t="s">
        <v>1416</v>
      </c>
      <c r="D568" s="3">
        <v>212</v>
      </c>
      <c r="E568" s="3" t="s">
        <v>1417</v>
      </c>
    </row>
    <row r="569" spans="1:5" ht="13" hidden="1" x14ac:dyDescent="0.15">
      <c r="A569" s="3" t="s">
        <v>75</v>
      </c>
      <c r="B569" s="3" t="e">
        <f t="array" aca="1" ref="B569" ca="1">_xludf.XLOOKUP(A569,duobahlul_videos!$A$1:$A$52,duobahlul_videos!$B$1:$B$52)</f>
        <v>#NAME?</v>
      </c>
      <c r="C569" s="3" t="s">
        <v>1418</v>
      </c>
      <c r="D569" s="3">
        <v>52</v>
      </c>
      <c r="E569" s="3" t="s">
        <v>1419</v>
      </c>
    </row>
    <row r="570" spans="1:5" ht="13" hidden="1" x14ac:dyDescent="0.15">
      <c r="A570" s="3" t="s">
        <v>75</v>
      </c>
      <c r="B570" s="3" t="e">
        <f t="array" aca="1" ref="B570" ca="1">_xludf.XLOOKUP(A570,duobahlul_videos!$A$1:$A$52,duobahlul_videos!$B$1:$B$52)</f>
        <v>#NAME?</v>
      </c>
      <c r="C570" s="3" t="s">
        <v>1420</v>
      </c>
      <c r="D570" s="3">
        <v>680</v>
      </c>
      <c r="E570" s="3" t="s">
        <v>1421</v>
      </c>
    </row>
    <row r="571" spans="1:5" ht="13" hidden="1" x14ac:dyDescent="0.15">
      <c r="A571" s="3" t="s">
        <v>75</v>
      </c>
      <c r="B571" s="3" t="e">
        <f t="array" aca="1" ref="B571" ca="1">_xludf.XLOOKUP(A571,duobahlul_videos!$A$1:$A$52,duobahlul_videos!$B$1:$B$52)</f>
        <v>#NAME?</v>
      </c>
      <c r="C571" s="3" t="s">
        <v>1422</v>
      </c>
      <c r="D571" s="3">
        <v>6</v>
      </c>
      <c r="E571" s="3" t="s">
        <v>1423</v>
      </c>
    </row>
    <row r="572" spans="1:5" ht="13" hidden="1" x14ac:dyDescent="0.15">
      <c r="A572" s="3" t="s">
        <v>75</v>
      </c>
      <c r="B572" s="3" t="e">
        <f t="array" aca="1" ref="B572" ca="1">_xludf.XLOOKUP(A572,duobahlul_videos!$A$1:$A$52,duobahlul_videos!$B$1:$B$52)</f>
        <v>#NAME?</v>
      </c>
      <c r="C572" s="3" t="s">
        <v>1424</v>
      </c>
      <c r="D572" s="3">
        <v>76</v>
      </c>
      <c r="E572" s="3" t="s">
        <v>1425</v>
      </c>
    </row>
    <row r="573" spans="1:5" ht="13" hidden="1" x14ac:dyDescent="0.15">
      <c r="A573" s="3" t="s">
        <v>75</v>
      </c>
      <c r="B573" s="3" t="e">
        <f t="array" aca="1" ref="B573" ca="1">_xludf.XLOOKUP(A573,duobahlul_videos!$A$1:$A$52,duobahlul_videos!$B$1:$B$52)</f>
        <v>#NAME?</v>
      </c>
      <c r="C573" s="3" t="s">
        <v>1426</v>
      </c>
      <c r="D573" s="3">
        <v>56</v>
      </c>
      <c r="E573" s="3" t="s">
        <v>1427</v>
      </c>
    </row>
    <row r="574" spans="1:5" ht="13" hidden="1" x14ac:dyDescent="0.15">
      <c r="A574" s="3" t="s">
        <v>75</v>
      </c>
      <c r="B574" s="3" t="e">
        <f t="array" aca="1" ref="B574" ca="1">_xludf.XLOOKUP(A574,duobahlul_videos!$A$1:$A$52,duobahlul_videos!$B$1:$B$52)</f>
        <v>#NAME?</v>
      </c>
      <c r="C574" s="3" t="s">
        <v>1428</v>
      </c>
      <c r="D574" s="3">
        <v>77</v>
      </c>
      <c r="E574" s="3" t="s">
        <v>1429</v>
      </c>
    </row>
    <row r="575" spans="1:5" ht="13" hidden="1" x14ac:dyDescent="0.15">
      <c r="A575" s="3" t="s">
        <v>75</v>
      </c>
      <c r="B575" s="3" t="e">
        <f t="array" aca="1" ref="B575" ca="1">_xludf.XLOOKUP(A575,duobahlul_videos!$A$1:$A$52,duobahlul_videos!$B$1:$B$52)</f>
        <v>#NAME?</v>
      </c>
      <c r="C575" s="3" t="s">
        <v>1430</v>
      </c>
      <c r="D575" s="3">
        <v>87</v>
      </c>
      <c r="E575" s="3" t="s">
        <v>1431</v>
      </c>
    </row>
    <row r="576" spans="1:5" ht="13" hidden="1" x14ac:dyDescent="0.15">
      <c r="A576" s="3" t="s">
        <v>75</v>
      </c>
      <c r="B576" s="3" t="e">
        <f t="array" aca="1" ref="B576" ca="1">_xludf.XLOOKUP(A576,duobahlul_videos!$A$1:$A$52,duobahlul_videos!$B$1:$B$52)</f>
        <v>#NAME?</v>
      </c>
      <c r="C576" s="3" t="s">
        <v>1432</v>
      </c>
      <c r="D576" s="3">
        <v>2</v>
      </c>
      <c r="E576" s="3" t="s">
        <v>1433</v>
      </c>
    </row>
    <row r="577" spans="1:5" ht="13" hidden="1" x14ac:dyDescent="0.15">
      <c r="A577" s="3" t="s">
        <v>75</v>
      </c>
      <c r="B577" s="3" t="e">
        <f t="array" aca="1" ref="B577" ca="1">_xludf.XLOOKUP(A577,duobahlul_videos!$A$1:$A$52,duobahlul_videos!$B$1:$B$52)</f>
        <v>#NAME?</v>
      </c>
      <c r="C577" s="3" t="s">
        <v>1434</v>
      </c>
      <c r="D577" s="3">
        <v>4</v>
      </c>
      <c r="E577" s="3" t="s">
        <v>1435</v>
      </c>
    </row>
    <row r="578" spans="1:5" ht="13" hidden="1" x14ac:dyDescent="0.15">
      <c r="A578" s="3" t="s">
        <v>75</v>
      </c>
      <c r="B578" s="3" t="e">
        <f t="array" aca="1" ref="B578" ca="1">_xludf.XLOOKUP(A578,duobahlul_videos!$A$1:$A$52,duobahlul_videos!$B$1:$B$52)</f>
        <v>#NAME?</v>
      </c>
      <c r="C578" s="3" t="s">
        <v>1436</v>
      </c>
      <c r="D578" s="3">
        <v>40</v>
      </c>
      <c r="E578" s="3" t="s">
        <v>1437</v>
      </c>
    </row>
    <row r="579" spans="1:5" ht="13" hidden="1" x14ac:dyDescent="0.15">
      <c r="A579" s="3" t="s">
        <v>75</v>
      </c>
      <c r="B579" s="3" t="e">
        <f t="array" aca="1" ref="B579" ca="1">_xludf.XLOOKUP(A579,duobahlul_videos!$A$1:$A$52,duobahlul_videos!$B$1:$B$52)</f>
        <v>#NAME?</v>
      </c>
      <c r="C579" s="3" t="s">
        <v>1438</v>
      </c>
      <c r="D579" s="3">
        <v>23</v>
      </c>
      <c r="E579" s="3" t="s">
        <v>1439</v>
      </c>
    </row>
    <row r="580" spans="1:5" ht="13" hidden="1" x14ac:dyDescent="0.15">
      <c r="A580" s="3" t="s">
        <v>75</v>
      </c>
      <c r="B580" s="3" t="e">
        <f t="array" aca="1" ref="B580" ca="1">_xludf.XLOOKUP(A580,duobahlul_videos!$A$1:$A$52,duobahlul_videos!$B$1:$B$52)</f>
        <v>#NAME?</v>
      </c>
      <c r="C580" s="3" t="s">
        <v>1440</v>
      </c>
      <c r="D580" s="3">
        <v>11</v>
      </c>
      <c r="E580" s="3" t="s">
        <v>1441</v>
      </c>
    </row>
    <row r="581" spans="1:5" ht="13" hidden="1" x14ac:dyDescent="0.15">
      <c r="A581" s="3" t="s">
        <v>75</v>
      </c>
      <c r="B581" s="3" t="e">
        <f t="array" aca="1" ref="B581" ca="1">_xludf.XLOOKUP(A581,duobahlul_videos!$A$1:$A$52,duobahlul_videos!$B$1:$B$52)</f>
        <v>#NAME?</v>
      </c>
      <c r="C581" s="3" t="s">
        <v>1442</v>
      </c>
      <c r="D581" s="3">
        <v>17</v>
      </c>
      <c r="E581" s="3" t="s">
        <v>1443</v>
      </c>
    </row>
    <row r="582" spans="1:5" ht="13" hidden="1" x14ac:dyDescent="0.15">
      <c r="A582" s="3" t="s">
        <v>163</v>
      </c>
      <c r="B582" s="3" t="e">
        <f t="array" aca="1" ref="B582" ca="1">_xludf.XLOOKUP(A582,duobahlul_videos!$A$1:$A$52,duobahlul_videos!$B$1:$B$52)</f>
        <v>#NAME?</v>
      </c>
      <c r="C582" s="3" t="s">
        <v>1444</v>
      </c>
      <c r="D582" s="3">
        <v>128</v>
      </c>
      <c r="E582" s="3" t="s">
        <v>1445</v>
      </c>
    </row>
    <row r="583" spans="1:5" ht="13" hidden="1" x14ac:dyDescent="0.15">
      <c r="A583" s="3" t="s">
        <v>163</v>
      </c>
      <c r="B583" s="3" t="e">
        <f t="array" aca="1" ref="B583" ca="1">_xludf.XLOOKUP(A583,duobahlul_videos!$A$1:$A$52,duobahlul_videos!$B$1:$B$52)</f>
        <v>#NAME?</v>
      </c>
      <c r="C583" s="3" t="s">
        <v>1446</v>
      </c>
      <c r="D583" s="3">
        <v>162</v>
      </c>
      <c r="E583" s="3" t="s">
        <v>1447</v>
      </c>
    </row>
    <row r="584" spans="1:5" ht="13" hidden="1" x14ac:dyDescent="0.15">
      <c r="A584" s="3" t="s">
        <v>163</v>
      </c>
      <c r="B584" s="3" t="e">
        <f t="array" aca="1" ref="B584" ca="1">_xludf.XLOOKUP(A584,duobahlul_videos!$A$1:$A$52,duobahlul_videos!$B$1:$B$52)</f>
        <v>#NAME?</v>
      </c>
      <c r="C584" s="3" t="s">
        <v>1448</v>
      </c>
      <c r="D584" s="3">
        <v>241</v>
      </c>
      <c r="E584" s="3" t="s">
        <v>1449</v>
      </c>
    </row>
    <row r="585" spans="1:5" ht="13" hidden="1" x14ac:dyDescent="0.15">
      <c r="A585" s="3" t="s">
        <v>163</v>
      </c>
      <c r="B585" s="3" t="e">
        <f t="array" aca="1" ref="B585" ca="1">_xludf.XLOOKUP(A585,duobahlul_videos!$A$1:$A$52,duobahlul_videos!$B$1:$B$52)</f>
        <v>#NAME?</v>
      </c>
      <c r="C585" s="3" t="s">
        <v>1450</v>
      </c>
      <c r="D585" s="3">
        <v>56</v>
      </c>
      <c r="E585" s="3" t="s">
        <v>1451</v>
      </c>
    </row>
    <row r="586" spans="1:5" ht="13" hidden="1" x14ac:dyDescent="0.15">
      <c r="A586" s="3" t="s">
        <v>163</v>
      </c>
      <c r="B586" s="3" t="e">
        <f t="array" aca="1" ref="B586" ca="1">_xludf.XLOOKUP(A586,duobahlul_videos!$A$1:$A$52,duobahlul_videos!$B$1:$B$52)</f>
        <v>#NAME?</v>
      </c>
      <c r="C586" s="3" t="s">
        <v>1452</v>
      </c>
      <c r="D586" s="3">
        <v>41</v>
      </c>
      <c r="E586" s="3" t="s">
        <v>1453</v>
      </c>
    </row>
    <row r="587" spans="1:5" ht="13" hidden="1" x14ac:dyDescent="0.15">
      <c r="A587" s="3" t="s">
        <v>163</v>
      </c>
      <c r="B587" s="3" t="e">
        <f t="array" aca="1" ref="B587" ca="1">_xludf.XLOOKUP(A587,duobahlul_videos!$A$1:$A$52,duobahlul_videos!$B$1:$B$52)</f>
        <v>#NAME?</v>
      </c>
      <c r="C587" s="3" t="s">
        <v>1454</v>
      </c>
      <c r="D587" s="3">
        <v>166</v>
      </c>
      <c r="E587" s="3" t="s">
        <v>1455</v>
      </c>
    </row>
    <row r="588" spans="1:5" ht="13" hidden="1" x14ac:dyDescent="0.15">
      <c r="A588" s="3" t="s">
        <v>163</v>
      </c>
      <c r="B588" s="3" t="e">
        <f t="array" aca="1" ref="B588" ca="1">_xludf.XLOOKUP(A588,duobahlul_videos!$A$1:$A$52,duobahlul_videos!$B$1:$B$52)</f>
        <v>#NAME?</v>
      </c>
      <c r="C588" s="3" t="s">
        <v>1456</v>
      </c>
      <c r="D588" s="3">
        <v>19</v>
      </c>
      <c r="E588" s="3" t="s">
        <v>1457</v>
      </c>
    </row>
    <row r="589" spans="1:5" ht="13" hidden="1" x14ac:dyDescent="0.15">
      <c r="A589" s="3" t="s">
        <v>163</v>
      </c>
      <c r="B589" s="3" t="e">
        <f t="array" aca="1" ref="B589" ca="1">_xludf.XLOOKUP(A589,duobahlul_videos!$A$1:$A$52,duobahlul_videos!$B$1:$B$52)</f>
        <v>#NAME?</v>
      </c>
      <c r="C589" s="3" t="s">
        <v>1458</v>
      </c>
      <c r="D589" s="3">
        <v>36</v>
      </c>
      <c r="E589" s="3" t="s">
        <v>1459</v>
      </c>
    </row>
    <row r="590" spans="1:5" ht="13" hidden="1" x14ac:dyDescent="0.15">
      <c r="A590" s="3" t="s">
        <v>163</v>
      </c>
      <c r="B590" s="3" t="e">
        <f t="array" aca="1" ref="B590" ca="1">_xludf.XLOOKUP(A590,duobahlul_videos!$A$1:$A$52,duobahlul_videos!$B$1:$B$52)</f>
        <v>#NAME?</v>
      </c>
      <c r="C590" s="3" t="s">
        <v>1460</v>
      </c>
      <c r="D590" s="3">
        <v>7</v>
      </c>
      <c r="E590" s="3" t="s">
        <v>1461</v>
      </c>
    </row>
    <row r="591" spans="1:5" ht="13" hidden="1" x14ac:dyDescent="0.15">
      <c r="A591" s="3" t="s">
        <v>163</v>
      </c>
      <c r="B591" s="3" t="e">
        <f t="array" aca="1" ref="B591" ca="1">_xludf.XLOOKUP(A591,duobahlul_videos!$A$1:$A$52,duobahlul_videos!$B$1:$B$52)</f>
        <v>#NAME?</v>
      </c>
      <c r="C591" s="3" t="s">
        <v>1462</v>
      </c>
      <c r="D591" s="3">
        <v>11</v>
      </c>
      <c r="E591" s="3" t="s">
        <v>1463</v>
      </c>
    </row>
    <row r="592" spans="1:5" ht="13" hidden="1" x14ac:dyDescent="0.15">
      <c r="A592" s="3" t="s">
        <v>163</v>
      </c>
      <c r="B592" s="3" t="e">
        <f t="array" aca="1" ref="B592" ca="1">_xludf.XLOOKUP(A592,duobahlul_videos!$A$1:$A$52,duobahlul_videos!$B$1:$B$52)</f>
        <v>#NAME?</v>
      </c>
      <c r="C592" s="3" t="s">
        <v>1464</v>
      </c>
      <c r="D592" s="3">
        <v>14</v>
      </c>
      <c r="E592" s="3" t="s">
        <v>1465</v>
      </c>
    </row>
    <row r="593" spans="1:5" ht="13" hidden="1" x14ac:dyDescent="0.15">
      <c r="A593" s="3" t="s">
        <v>163</v>
      </c>
      <c r="B593" s="3" t="e">
        <f t="array" aca="1" ref="B593" ca="1">_xludf.XLOOKUP(A593,duobahlul_videos!$A$1:$A$52,duobahlul_videos!$B$1:$B$52)</f>
        <v>#NAME?</v>
      </c>
      <c r="C593" s="3" t="s">
        <v>1466</v>
      </c>
      <c r="D593" s="3">
        <v>81</v>
      </c>
      <c r="E593" s="3" t="s">
        <v>1467</v>
      </c>
    </row>
    <row r="594" spans="1:5" ht="13" hidden="1" x14ac:dyDescent="0.15">
      <c r="A594" s="3" t="s">
        <v>163</v>
      </c>
      <c r="B594" s="3" t="e">
        <f t="array" aca="1" ref="B594" ca="1">_xludf.XLOOKUP(A594,duobahlul_videos!$A$1:$A$52,duobahlul_videos!$B$1:$B$52)</f>
        <v>#NAME?</v>
      </c>
      <c r="C594" s="3" t="s">
        <v>1468</v>
      </c>
      <c r="D594" s="3">
        <v>9</v>
      </c>
      <c r="E594" s="3" t="s">
        <v>1469</v>
      </c>
    </row>
    <row r="595" spans="1:5" ht="13" hidden="1" x14ac:dyDescent="0.15">
      <c r="A595" s="3" t="s">
        <v>163</v>
      </c>
      <c r="B595" s="3" t="e">
        <f t="array" aca="1" ref="B595" ca="1">_xludf.XLOOKUP(A595,duobahlul_videos!$A$1:$A$52,duobahlul_videos!$B$1:$B$52)</f>
        <v>#NAME?</v>
      </c>
      <c r="C595" s="3" t="s">
        <v>1470</v>
      </c>
      <c r="D595" s="3">
        <v>55</v>
      </c>
      <c r="E595" s="3" t="s">
        <v>1471</v>
      </c>
    </row>
    <row r="596" spans="1:5" ht="13" hidden="1" x14ac:dyDescent="0.15">
      <c r="A596" s="3" t="s">
        <v>163</v>
      </c>
      <c r="B596" s="3" t="e">
        <f t="array" aca="1" ref="B596" ca="1">_xludf.XLOOKUP(A596,duobahlul_videos!$A$1:$A$52,duobahlul_videos!$B$1:$B$52)</f>
        <v>#NAME?</v>
      </c>
      <c r="C596" s="3" t="s">
        <v>1472</v>
      </c>
      <c r="D596" s="3">
        <v>36</v>
      </c>
      <c r="E596" s="3" t="s">
        <v>1473</v>
      </c>
    </row>
    <row r="597" spans="1:5" ht="13" hidden="1" x14ac:dyDescent="0.15">
      <c r="A597" s="3" t="s">
        <v>163</v>
      </c>
      <c r="B597" s="3" t="e">
        <f t="array" aca="1" ref="B597" ca="1">_xludf.XLOOKUP(A597,duobahlul_videos!$A$1:$A$52,duobahlul_videos!$B$1:$B$52)</f>
        <v>#NAME?</v>
      </c>
      <c r="C597" s="3" t="s">
        <v>1474</v>
      </c>
      <c r="D597" s="3">
        <v>11</v>
      </c>
      <c r="E597" s="3" t="s">
        <v>1475</v>
      </c>
    </row>
    <row r="598" spans="1:5" ht="13" hidden="1" x14ac:dyDescent="0.15">
      <c r="A598" s="3" t="s">
        <v>163</v>
      </c>
      <c r="B598" s="3" t="e">
        <f t="array" aca="1" ref="B598" ca="1">_xludf.XLOOKUP(A598,duobahlul_videos!$A$1:$A$52,duobahlul_videos!$B$1:$B$52)</f>
        <v>#NAME?</v>
      </c>
      <c r="C598" s="3" t="s">
        <v>1476</v>
      </c>
      <c r="D598" s="3">
        <v>31</v>
      </c>
      <c r="E598" s="3" t="s">
        <v>1477</v>
      </c>
    </row>
    <row r="599" spans="1:5" ht="13" hidden="1" x14ac:dyDescent="0.15">
      <c r="A599" s="3" t="s">
        <v>163</v>
      </c>
      <c r="B599" s="3" t="e">
        <f t="array" aca="1" ref="B599" ca="1">_xludf.XLOOKUP(A599,duobahlul_videos!$A$1:$A$52,duobahlul_videos!$B$1:$B$52)</f>
        <v>#NAME?</v>
      </c>
      <c r="C599" s="3" t="s">
        <v>1478</v>
      </c>
      <c r="D599" s="3">
        <v>38</v>
      </c>
      <c r="E599" s="3" t="s">
        <v>1479</v>
      </c>
    </row>
    <row r="600" spans="1:5" ht="13" hidden="1" x14ac:dyDescent="0.15">
      <c r="A600" s="3" t="s">
        <v>163</v>
      </c>
      <c r="B600" s="3" t="e">
        <f t="array" aca="1" ref="B600" ca="1">_xludf.XLOOKUP(A600,duobahlul_videos!$A$1:$A$52,duobahlul_videos!$B$1:$B$52)</f>
        <v>#NAME?</v>
      </c>
      <c r="C600" s="3" t="s">
        <v>1480</v>
      </c>
      <c r="D600" s="3">
        <v>17</v>
      </c>
      <c r="E600" s="3" t="s">
        <v>1481</v>
      </c>
    </row>
    <row r="601" spans="1:5" ht="13" hidden="1" x14ac:dyDescent="0.15">
      <c r="A601" s="3" t="s">
        <v>163</v>
      </c>
      <c r="B601" s="3" t="e">
        <f t="array" aca="1" ref="B601" ca="1">_xludf.XLOOKUP(A601,duobahlul_videos!$A$1:$A$52,duobahlul_videos!$B$1:$B$52)</f>
        <v>#NAME?</v>
      </c>
      <c r="C601" s="3" t="s">
        <v>1482</v>
      </c>
      <c r="D601" s="3">
        <v>2</v>
      </c>
      <c r="E601" s="3" t="s">
        <v>1483</v>
      </c>
    </row>
    <row r="602" spans="1:5" ht="13" hidden="1" x14ac:dyDescent="0.15">
      <c r="A602" s="3" t="s">
        <v>310</v>
      </c>
      <c r="B602" s="3" t="e">
        <f t="array" aca="1" ref="B602" ca="1">_xludf.XLOOKUP(A602,duobahlul_videos!$A$1:$A$52,duobahlul_videos!$B$1:$B$52)</f>
        <v>#NAME?</v>
      </c>
      <c r="C602" s="3" t="s">
        <v>1484</v>
      </c>
      <c r="D602" s="3">
        <v>28</v>
      </c>
      <c r="E602" s="3" t="s">
        <v>1485</v>
      </c>
    </row>
    <row r="603" spans="1:5" ht="13" hidden="1" x14ac:dyDescent="0.15">
      <c r="A603" s="3" t="s">
        <v>310</v>
      </c>
      <c r="B603" s="3" t="e">
        <f t="array" aca="1" ref="B603" ca="1">_xludf.XLOOKUP(A603,duobahlul_videos!$A$1:$A$52,duobahlul_videos!$B$1:$B$52)</f>
        <v>#NAME?</v>
      </c>
      <c r="C603" s="3" t="s">
        <v>1486</v>
      </c>
      <c r="D603" s="3">
        <v>15</v>
      </c>
      <c r="E603" s="3" t="s">
        <v>1487</v>
      </c>
    </row>
    <row r="604" spans="1:5" ht="13" hidden="1" x14ac:dyDescent="0.15">
      <c r="A604" s="3" t="s">
        <v>310</v>
      </c>
      <c r="B604" s="3" t="e">
        <f t="array" aca="1" ref="B604" ca="1">_xludf.XLOOKUP(A604,duobahlul_videos!$A$1:$A$52,duobahlul_videos!$B$1:$B$52)</f>
        <v>#NAME?</v>
      </c>
      <c r="C604" s="3" t="s">
        <v>1488</v>
      </c>
      <c r="D604" s="3">
        <v>4</v>
      </c>
      <c r="E604" s="3" t="s">
        <v>1489</v>
      </c>
    </row>
    <row r="605" spans="1:5" ht="13" hidden="1" x14ac:dyDescent="0.15">
      <c r="A605" s="3" t="s">
        <v>310</v>
      </c>
      <c r="B605" s="3" t="e">
        <f t="array" aca="1" ref="B605" ca="1">_xludf.XLOOKUP(A605,duobahlul_videos!$A$1:$A$52,duobahlul_videos!$B$1:$B$52)</f>
        <v>#NAME?</v>
      </c>
      <c r="C605" s="3" t="s">
        <v>1490</v>
      </c>
      <c r="D605" s="3">
        <v>7</v>
      </c>
      <c r="E605" s="3" t="s">
        <v>1491</v>
      </c>
    </row>
    <row r="606" spans="1:5" ht="13" hidden="1" x14ac:dyDescent="0.15">
      <c r="A606" s="3" t="s">
        <v>310</v>
      </c>
      <c r="B606" s="3" t="e">
        <f t="array" aca="1" ref="B606" ca="1">_xludf.XLOOKUP(A606,duobahlul_videos!$A$1:$A$52,duobahlul_videos!$B$1:$B$52)</f>
        <v>#NAME?</v>
      </c>
      <c r="C606" s="3" t="s">
        <v>1492</v>
      </c>
      <c r="D606" s="3">
        <v>4</v>
      </c>
      <c r="E606" s="3" t="s">
        <v>1493</v>
      </c>
    </row>
    <row r="607" spans="1:5" ht="13" hidden="1" x14ac:dyDescent="0.15">
      <c r="A607" s="3" t="s">
        <v>310</v>
      </c>
      <c r="B607" s="3" t="e">
        <f t="array" aca="1" ref="B607" ca="1">_xludf.XLOOKUP(A607,duobahlul_videos!$A$1:$A$52,duobahlul_videos!$B$1:$B$52)</f>
        <v>#NAME?</v>
      </c>
      <c r="C607" s="3" t="s">
        <v>1494</v>
      </c>
      <c r="D607" s="3">
        <v>3</v>
      </c>
      <c r="E607" s="3" t="s">
        <v>1495</v>
      </c>
    </row>
    <row r="608" spans="1:5" ht="13" hidden="1" x14ac:dyDescent="0.15">
      <c r="A608" s="3" t="s">
        <v>310</v>
      </c>
      <c r="B608" s="3" t="e">
        <f t="array" aca="1" ref="B608" ca="1">_xludf.XLOOKUP(A608,duobahlul_videos!$A$1:$A$52,duobahlul_videos!$B$1:$B$52)</f>
        <v>#NAME?</v>
      </c>
      <c r="C608" s="3" t="s">
        <v>1496</v>
      </c>
      <c r="D608" s="3">
        <v>12</v>
      </c>
      <c r="E608" s="3" t="s">
        <v>1497</v>
      </c>
    </row>
    <row r="609" spans="1:5" ht="13" hidden="1" x14ac:dyDescent="0.15">
      <c r="A609" s="3" t="s">
        <v>310</v>
      </c>
      <c r="B609" s="3" t="e">
        <f t="array" aca="1" ref="B609" ca="1">_xludf.XLOOKUP(A609,duobahlul_videos!$A$1:$A$52,duobahlul_videos!$B$1:$B$52)</f>
        <v>#NAME?</v>
      </c>
      <c r="C609" s="3" t="s">
        <v>1498</v>
      </c>
      <c r="D609" s="3">
        <v>1</v>
      </c>
      <c r="E609" s="3" t="s">
        <v>1499</v>
      </c>
    </row>
    <row r="610" spans="1:5" ht="13" hidden="1" x14ac:dyDescent="0.15">
      <c r="A610" s="3" t="s">
        <v>310</v>
      </c>
      <c r="B610" s="3" t="e">
        <f t="array" aca="1" ref="B610" ca="1">_xludf.XLOOKUP(A610,duobahlul_videos!$A$1:$A$52,duobahlul_videos!$B$1:$B$52)</f>
        <v>#NAME?</v>
      </c>
      <c r="C610" s="3" t="s">
        <v>1500</v>
      </c>
      <c r="D610" s="3">
        <v>1</v>
      </c>
      <c r="E610" s="3" t="s">
        <v>1501</v>
      </c>
    </row>
    <row r="611" spans="1:5" ht="13" hidden="1" x14ac:dyDescent="0.15">
      <c r="A611" s="3" t="s">
        <v>310</v>
      </c>
      <c r="B611" s="3" t="e">
        <f t="array" aca="1" ref="B611" ca="1">_xludf.XLOOKUP(A611,duobahlul_videos!$A$1:$A$52,duobahlul_videos!$B$1:$B$52)</f>
        <v>#NAME?</v>
      </c>
      <c r="C611" s="3" t="s">
        <v>1502</v>
      </c>
      <c r="D611" s="3">
        <v>0</v>
      </c>
      <c r="E611" s="3" t="s">
        <v>1503</v>
      </c>
    </row>
    <row r="612" spans="1:5" ht="13" hidden="1" x14ac:dyDescent="0.15">
      <c r="A612" s="3" t="s">
        <v>310</v>
      </c>
      <c r="B612" s="3" t="e">
        <f t="array" aca="1" ref="B612" ca="1">_xludf.XLOOKUP(A612,duobahlul_videos!$A$1:$A$52,duobahlul_videos!$B$1:$B$52)</f>
        <v>#NAME?</v>
      </c>
      <c r="C612" s="3" t="s">
        <v>1504</v>
      </c>
      <c r="D612" s="3">
        <v>1</v>
      </c>
      <c r="E612" s="3" t="s">
        <v>1505</v>
      </c>
    </row>
    <row r="613" spans="1:5" ht="13" hidden="1" x14ac:dyDescent="0.15">
      <c r="A613" s="3" t="s">
        <v>310</v>
      </c>
      <c r="B613" s="3" t="e">
        <f t="array" aca="1" ref="B613" ca="1">_xludf.XLOOKUP(A613,duobahlul_videos!$A$1:$A$52,duobahlul_videos!$B$1:$B$52)</f>
        <v>#NAME?</v>
      </c>
      <c r="C613" s="3" t="s">
        <v>1506</v>
      </c>
      <c r="D613" s="3">
        <v>2</v>
      </c>
      <c r="E613" s="3" t="s">
        <v>1507</v>
      </c>
    </row>
    <row r="614" spans="1:5" ht="13" hidden="1" x14ac:dyDescent="0.15">
      <c r="A614" s="3" t="s">
        <v>310</v>
      </c>
      <c r="B614" s="3" t="e">
        <f t="array" aca="1" ref="B614" ca="1">_xludf.XLOOKUP(A614,duobahlul_videos!$A$1:$A$52,duobahlul_videos!$B$1:$B$52)</f>
        <v>#NAME?</v>
      </c>
      <c r="C614" s="3" t="s">
        <v>1508</v>
      </c>
      <c r="D614" s="3">
        <v>0</v>
      </c>
      <c r="E614" s="3" t="s">
        <v>1509</v>
      </c>
    </row>
    <row r="615" spans="1:5" ht="13" hidden="1" x14ac:dyDescent="0.15">
      <c r="A615" s="3" t="s">
        <v>310</v>
      </c>
      <c r="B615" s="3" t="e">
        <f t="array" aca="1" ref="B615" ca="1">_xludf.XLOOKUP(A615,duobahlul_videos!$A$1:$A$52,duobahlul_videos!$B$1:$B$52)</f>
        <v>#NAME?</v>
      </c>
      <c r="C615" s="3" t="s">
        <v>1510</v>
      </c>
      <c r="D615" s="3">
        <v>0</v>
      </c>
      <c r="E615" s="3" t="s">
        <v>1511</v>
      </c>
    </row>
    <row r="616" spans="1:5" ht="13" hidden="1" x14ac:dyDescent="0.15">
      <c r="A616" s="3" t="s">
        <v>310</v>
      </c>
      <c r="B616" s="3" t="e">
        <f t="array" aca="1" ref="B616" ca="1">_xludf.XLOOKUP(A616,duobahlul_videos!$A$1:$A$52,duobahlul_videos!$B$1:$B$52)</f>
        <v>#NAME?</v>
      </c>
      <c r="C616" s="3" t="s">
        <v>1512</v>
      </c>
      <c r="D616" s="3">
        <v>0</v>
      </c>
      <c r="E616" s="3" t="s">
        <v>1513</v>
      </c>
    </row>
    <row r="617" spans="1:5" ht="13" hidden="1" x14ac:dyDescent="0.15">
      <c r="A617" s="3" t="s">
        <v>310</v>
      </c>
      <c r="B617" s="3" t="e">
        <f t="array" aca="1" ref="B617" ca="1">_xludf.XLOOKUP(A617,duobahlul_videos!$A$1:$A$52,duobahlul_videos!$B$1:$B$52)</f>
        <v>#NAME?</v>
      </c>
      <c r="C617" s="3" t="s">
        <v>1514</v>
      </c>
      <c r="D617" s="3">
        <v>1</v>
      </c>
      <c r="E617" s="3" t="s">
        <v>1515</v>
      </c>
    </row>
    <row r="618" spans="1:5" ht="13" hidden="1" x14ac:dyDescent="0.15">
      <c r="A618" s="3" t="s">
        <v>310</v>
      </c>
      <c r="B618" s="3" t="e">
        <f t="array" aca="1" ref="B618" ca="1">_xludf.XLOOKUP(A618,duobahlul_videos!$A$1:$A$52,duobahlul_videos!$B$1:$B$52)</f>
        <v>#NAME?</v>
      </c>
      <c r="C618" s="3" t="s">
        <v>1516</v>
      </c>
      <c r="D618" s="3">
        <v>0</v>
      </c>
      <c r="E618" s="3" t="s">
        <v>1517</v>
      </c>
    </row>
    <row r="619" spans="1:5" ht="13" hidden="1" x14ac:dyDescent="0.15">
      <c r="A619" s="3" t="s">
        <v>310</v>
      </c>
      <c r="B619" s="3" t="e">
        <f t="array" aca="1" ref="B619" ca="1">_xludf.XLOOKUP(A619,duobahlul_videos!$A$1:$A$52,duobahlul_videos!$B$1:$B$52)</f>
        <v>#NAME?</v>
      </c>
      <c r="C619" s="3" t="s">
        <v>1518</v>
      </c>
      <c r="D619" s="3">
        <v>0</v>
      </c>
      <c r="E619" s="3" t="s">
        <v>1519</v>
      </c>
    </row>
    <row r="620" spans="1:5" ht="13" hidden="1" x14ac:dyDescent="0.15">
      <c r="A620" s="3" t="s">
        <v>310</v>
      </c>
      <c r="B620" s="3" t="e">
        <f t="array" aca="1" ref="B620" ca="1">_xludf.XLOOKUP(A620,duobahlul_videos!$A$1:$A$52,duobahlul_videos!$B$1:$B$52)</f>
        <v>#NAME?</v>
      </c>
      <c r="C620" s="3" t="s">
        <v>1520</v>
      </c>
      <c r="D620" s="3">
        <v>0</v>
      </c>
      <c r="E620" s="3" t="s">
        <v>1521</v>
      </c>
    </row>
    <row r="621" spans="1:5" ht="13" hidden="1" x14ac:dyDescent="0.15">
      <c r="A621" s="3" t="s">
        <v>310</v>
      </c>
      <c r="B621" s="3" t="e">
        <f t="array" aca="1" ref="B621" ca="1">_xludf.XLOOKUP(A621,duobahlul_videos!$A$1:$A$52,duobahlul_videos!$B$1:$B$52)</f>
        <v>#NAME?</v>
      </c>
      <c r="C621" s="3" t="s">
        <v>1522</v>
      </c>
      <c r="D621" s="3">
        <v>1</v>
      </c>
      <c r="E621" s="3" t="s">
        <v>1523</v>
      </c>
    </row>
    <row r="622" spans="1:5" ht="13" x14ac:dyDescent="0.15">
      <c r="A622" s="3" t="s">
        <v>27</v>
      </c>
      <c r="B622" s="3" t="e">
        <f t="array" aca="1" ref="B622" ca="1">_xludf.XLOOKUP(A622,duobahlul_videos!$A$1:$A$52,duobahlul_videos!$B$1:$B$52)</f>
        <v>#NAME?</v>
      </c>
      <c r="C622" s="3" t="s">
        <v>59</v>
      </c>
      <c r="D622" s="3">
        <v>1008</v>
      </c>
      <c r="E622" s="3" t="s">
        <v>1524</v>
      </c>
    </row>
    <row r="623" spans="1:5" ht="13" x14ac:dyDescent="0.15">
      <c r="A623" s="3" t="s">
        <v>27</v>
      </c>
      <c r="B623" s="3" t="e">
        <f t="array" aca="1" ref="B623" ca="1">_xludf.XLOOKUP(A623,duobahlul_videos!$A$1:$A$52,duobahlul_videos!$B$1:$B$52)</f>
        <v>#NAME?</v>
      </c>
      <c r="C623" s="3" t="s">
        <v>104</v>
      </c>
      <c r="D623" s="3">
        <v>461</v>
      </c>
      <c r="E623" s="3" t="s">
        <v>1525</v>
      </c>
    </row>
    <row r="624" spans="1:5" ht="13" x14ac:dyDescent="0.15">
      <c r="A624" s="3" t="s">
        <v>27</v>
      </c>
      <c r="B624" s="3" t="e">
        <f t="array" aca="1" ref="B624" ca="1">_xludf.XLOOKUP(A624,duobahlul_videos!$A$1:$A$52,duobahlul_videos!$B$1:$B$52)</f>
        <v>#NAME?</v>
      </c>
      <c r="C624" s="3" t="s">
        <v>113</v>
      </c>
      <c r="D624" s="3">
        <v>68</v>
      </c>
      <c r="E624" s="3" t="s">
        <v>1526</v>
      </c>
    </row>
    <row r="625" spans="1:5" ht="13" x14ac:dyDescent="0.15">
      <c r="A625" s="3" t="s">
        <v>27</v>
      </c>
      <c r="B625" s="3" t="e">
        <f t="array" aca="1" ref="B625" ca="1">_xludf.XLOOKUP(A625,duobahlul_videos!$A$1:$A$52,duobahlul_videos!$B$1:$B$52)</f>
        <v>#NAME?</v>
      </c>
      <c r="C625" s="3" t="s">
        <v>122</v>
      </c>
      <c r="D625" s="3">
        <v>499</v>
      </c>
      <c r="E625" s="3" t="s">
        <v>1527</v>
      </c>
    </row>
    <row r="626" spans="1:5" ht="13" x14ac:dyDescent="0.15">
      <c r="A626" s="3" t="s">
        <v>27</v>
      </c>
      <c r="B626" s="3" t="e">
        <f t="array" aca="1" ref="B626" ca="1">_xludf.XLOOKUP(A626,duobahlul_videos!$A$1:$A$52,duobahlul_videos!$B$1:$B$52)</f>
        <v>#NAME?</v>
      </c>
      <c r="C626" s="3" t="s">
        <v>138</v>
      </c>
      <c r="D626" s="3">
        <v>284</v>
      </c>
      <c r="E626" s="3" t="s">
        <v>1528</v>
      </c>
    </row>
    <row r="627" spans="1:5" ht="13" x14ac:dyDescent="0.15">
      <c r="A627" s="3" t="s">
        <v>27</v>
      </c>
      <c r="B627" s="3" t="e">
        <f t="array" aca="1" ref="B627" ca="1">_xludf.XLOOKUP(A627,duobahlul_videos!$A$1:$A$52,duobahlul_videos!$B$1:$B$52)</f>
        <v>#NAME?</v>
      </c>
      <c r="C627" s="3" t="s">
        <v>142</v>
      </c>
      <c r="D627" s="3">
        <v>224</v>
      </c>
      <c r="E627" s="3" t="s">
        <v>1529</v>
      </c>
    </row>
    <row r="628" spans="1:5" ht="13" x14ac:dyDescent="0.15">
      <c r="A628" s="3" t="s">
        <v>27</v>
      </c>
      <c r="B628" s="3" t="e">
        <f t="array" aca="1" ref="B628" ca="1">_xludf.XLOOKUP(A628,duobahlul_videos!$A$1:$A$52,duobahlul_videos!$B$1:$B$52)</f>
        <v>#NAME?</v>
      </c>
      <c r="C628" s="3" t="s">
        <v>150</v>
      </c>
      <c r="D628" s="3">
        <v>99</v>
      </c>
      <c r="E628" s="3" t="s">
        <v>1530</v>
      </c>
    </row>
    <row r="629" spans="1:5" ht="13" x14ac:dyDescent="0.15">
      <c r="A629" s="3" t="s">
        <v>27</v>
      </c>
      <c r="B629" s="3" t="e">
        <f t="array" aca="1" ref="B629" ca="1">_xludf.XLOOKUP(A629,duobahlul_videos!$A$1:$A$52,duobahlul_videos!$B$1:$B$52)</f>
        <v>#NAME?</v>
      </c>
      <c r="C629" s="3" t="s">
        <v>158</v>
      </c>
      <c r="D629" s="3">
        <v>98</v>
      </c>
      <c r="E629" s="3" t="s">
        <v>1531</v>
      </c>
    </row>
    <row r="630" spans="1:5" ht="13" x14ac:dyDescent="0.15">
      <c r="A630" s="3" t="s">
        <v>27</v>
      </c>
      <c r="B630" s="3" t="e">
        <f t="array" aca="1" ref="B630" ca="1">_xludf.XLOOKUP(A630,duobahlul_videos!$A$1:$A$52,duobahlul_videos!$B$1:$B$52)</f>
        <v>#NAME?</v>
      </c>
      <c r="C630" s="3" t="s">
        <v>164</v>
      </c>
      <c r="D630" s="3">
        <v>92</v>
      </c>
      <c r="E630" s="3" t="s">
        <v>1532</v>
      </c>
    </row>
    <row r="631" spans="1:5" ht="13" x14ac:dyDescent="0.15">
      <c r="A631" s="3" t="s">
        <v>27</v>
      </c>
      <c r="B631" s="3" t="e">
        <f t="array" aca="1" ref="B631" ca="1">_xludf.XLOOKUP(A631,duobahlul_videos!$A$1:$A$52,duobahlul_videos!$B$1:$B$52)</f>
        <v>#NAME?</v>
      </c>
      <c r="C631" s="3" t="s">
        <v>172</v>
      </c>
      <c r="D631" s="3">
        <v>51</v>
      </c>
      <c r="E631" s="3" t="s">
        <v>1533</v>
      </c>
    </row>
    <row r="632" spans="1:5" ht="13" x14ac:dyDescent="0.15">
      <c r="A632" s="3" t="s">
        <v>27</v>
      </c>
      <c r="B632" s="3" t="e">
        <f t="array" aca="1" ref="B632" ca="1">_xludf.XLOOKUP(A632,duobahlul_videos!$A$1:$A$52,duobahlul_videos!$B$1:$B$52)</f>
        <v>#NAME?</v>
      </c>
      <c r="C632" s="3" t="s">
        <v>180</v>
      </c>
      <c r="D632" s="3">
        <v>11</v>
      </c>
      <c r="E632" s="3" t="s">
        <v>1534</v>
      </c>
    </row>
    <row r="633" spans="1:5" ht="13" x14ac:dyDescent="0.15">
      <c r="A633" s="3" t="s">
        <v>27</v>
      </c>
      <c r="B633" s="3" t="e">
        <f t="array" aca="1" ref="B633" ca="1">_xludf.XLOOKUP(A633,duobahlul_videos!$A$1:$A$52,duobahlul_videos!$B$1:$B$52)</f>
        <v>#NAME?</v>
      </c>
      <c r="C633" s="3" t="s">
        <v>191</v>
      </c>
      <c r="D633" s="3">
        <v>334</v>
      </c>
      <c r="E633" s="3" t="s">
        <v>1535</v>
      </c>
    </row>
    <row r="634" spans="1:5" ht="13" x14ac:dyDescent="0.15">
      <c r="A634" s="3" t="s">
        <v>27</v>
      </c>
      <c r="B634" s="3" t="e">
        <f t="array" aca="1" ref="B634" ca="1">_xludf.XLOOKUP(A634,duobahlul_videos!$A$1:$A$52,duobahlul_videos!$B$1:$B$52)</f>
        <v>#NAME?</v>
      </c>
      <c r="C634" s="3" t="s">
        <v>194</v>
      </c>
      <c r="D634" s="3">
        <v>24</v>
      </c>
      <c r="E634" s="3" t="s">
        <v>1536</v>
      </c>
    </row>
    <row r="635" spans="1:5" ht="13" x14ac:dyDescent="0.15">
      <c r="A635" s="3" t="s">
        <v>27</v>
      </c>
      <c r="B635" s="3" t="e">
        <f t="array" aca="1" ref="B635" ca="1">_xludf.XLOOKUP(A635,duobahlul_videos!$A$1:$A$52,duobahlul_videos!$B$1:$B$52)</f>
        <v>#NAME?</v>
      </c>
      <c r="C635" s="3" t="s">
        <v>196</v>
      </c>
      <c r="D635" s="3">
        <v>129</v>
      </c>
      <c r="E635" s="3" t="s">
        <v>1537</v>
      </c>
    </row>
    <row r="636" spans="1:5" ht="13" x14ac:dyDescent="0.15">
      <c r="A636" s="3" t="s">
        <v>27</v>
      </c>
      <c r="B636" s="3" t="e">
        <f t="array" aca="1" ref="B636" ca="1">_xludf.XLOOKUP(A636,duobahlul_videos!$A$1:$A$52,duobahlul_videos!$B$1:$B$52)</f>
        <v>#NAME?</v>
      </c>
      <c r="C636" s="3" t="s">
        <v>199</v>
      </c>
      <c r="D636" s="3">
        <v>21</v>
      </c>
      <c r="E636" s="3" t="s">
        <v>1538</v>
      </c>
    </row>
    <row r="637" spans="1:5" ht="13" x14ac:dyDescent="0.15">
      <c r="A637" s="3" t="s">
        <v>27</v>
      </c>
      <c r="B637" s="3" t="e">
        <f t="array" aca="1" ref="B637" ca="1">_xludf.XLOOKUP(A637,duobahlul_videos!$A$1:$A$52,duobahlul_videos!$B$1:$B$52)</f>
        <v>#NAME?</v>
      </c>
      <c r="C637" s="3" t="s">
        <v>203</v>
      </c>
      <c r="D637" s="3">
        <v>31</v>
      </c>
      <c r="E637" s="3" t="s">
        <v>1539</v>
      </c>
    </row>
    <row r="638" spans="1:5" ht="13" x14ac:dyDescent="0.15">
      <c r="A638" s="3" t="s">
        <v>27</v>
      </c>
      <c r="B638" s="3" t="e">
        <f t="array" aca="1" ref="B638" ca="1">_xludf.XLOOKUP(A638,duobahlul_videos!$A$1:$A$52,duobahlul_videos!$B$1:$B$52)</f>
        <v>#NAME?</v>
      </c>
      <c r="C638" s="3" t="s">
        <v>207</v>
      </c>
      <c r="D638" s="3">
        <v>85</v>
      </c>
      <c r="E638" s="3" t="s">
        <v>1540</v>
      </c>
    </row>
    <row r="639" spans="1:5" ht="13" x14ac:dyDescent="0.15">
      <c r="A639" s="3" t="s">
        <v>27</v>
      </c>
      <c r="B639" s="3" t="e">
        <f t="array" aca="1" ref="B639" ca="1">_xludf.XLOOKUP(A639,duobahlul_videos!$A$1:$A$52,duobahlul_videos!$B$1:$B$52)</f>
        <v>#NAME?</v>
      </c>
      <c r="C639" s="3" t="s">
        <v>215</v>
      </c>
      <c r="D639" s="3">
        <v>73</v>
      </c>
      <c r="E639" s="3" t="s">
        <v>1541</v>
      </c>
    </row>
    <row r="640" spans="1:5" ht="13" x14ac:dyDescent="0.15">
      <c r="A640" s="3" t="s">
        <v>27</v>
      </c>
      <c r="B640" s="3" t="e">
        <f t="array" aca="1" ref="B640" ca="1">_xludf.XLOOKUP(A640,duobahlul_videos!$A$1:$A$52,duobahlul_videos!$B$1:$B$52)</f>
        <v>#NAME?</v>
      </c>
      <c r="C640" s="3" t="s">
        <v>221</v>
      </c>
      <c r="D640" s="3">
        <v>22</v>
      </c>
      <c r="E640" s="3" t="s">
        <v>1542</v>
      </c>
    </row>
    <row r="641" spans="1:5" ht="13" x14ac:dyDescent="0.15">
      <c r="A641" s="3" t="s">
        <v>27</v>
      </c>
      <c r="B641" s="3" t="e">
        <f t="array" aca="1" ref="B641" ca="1">_xludf.XLOOKUP(A641,duobahlul_videos!$A$1:$A$52,duobahlul_videos!$B$1:$B$52)</f>
        <v>#NAME?</v>
      </c>
      <c r="C641" s="3" t="s">
        <v>224</v>
      </c>
      <c r="D641" s="3">
        <v>115</v>
      </c>
      <c r="E641" s="3" t="s">
        <v>1543</v>
      </c>
    </row>
    <row r="642" spans="1:5" ht="13" hidden="1" x14ac:dyDescent="0.15">
      <c r="A642" s="3" t="s">
        <v>304</v>
      </c>
      <c r="B642" s="3" t="e">
        <f t="array" aca="1" ref="B642" ca="1">_xludf.XLOOKUP(A642,duobahlul_videos!$A$1:$A$52,duobahlul_videos!$B$1:$B$52)</f>
        <v>#NAME?</v>
      </c>
      <c r="C642" s="3" t="s">
        <v>1544</v>
      </c>
      <c r="D642" s="3">
        <v>53</v>
      </c>
      <c r="E642" s="3" t="s">
        <v>1545</v>
      </c>
    </row>
    <row r="643" spans="1:5" ht="13" hidden="1" x14ac:dyDescent="0.15">
      <c r="A643" s="3" t="s">
        <v>304</v>
      </c>
      <c r="B643" s="3" t="e">
        <f t="array" aca="1" ref="B643" ca="1">_xludf.XLOOKUP(A643,duobahlul_videos!$A$1:$A$52,duobahlul_videos!$B$1:$B$52)</f>
        <v>#NAME?</v>
      </c>
      <c r="C643" s="3" t="s">
        <v>1546</v>
      </c>
      <c r="D643" s="3">
        <v>80</v>
      </c>
      <c r="E643" s="3" t="s">
        <v>1547</v>
      </c>
    </row>
    <row r="644" spans="1:5" ht="13" hidden="1" x14ac:dyDescent="0.15">
      <c r="A644" s="3" t="s">
        <v>304</v>
      </c>
      <c r="B644" s="3" t="e">
        <f t="array" aca="1" ref="B644" ca="1">_xludf.XLOOKUP(A644,duobahlul_videos!$A$1:$A$52,duobahlul_videos!$B$1:$B$52)</f>
        <v>#NAME?</v>
      </c>
      <c r="C644" s="3" t="s">
        <v>1548</v>
      </c>
      <c r="D644" s="3">
        <v>42</v>
      </c>
      <c r="E644" s="3" t="s">
        <v>1549</v>
      </c>
    </row>
    <row r="645" spans="1:5" ht="13" hidden="1" x14ac:dyDescent="0.15">
      <c r="A645" s="3" t="s">
        <v>304</v>
      </c>
      <c r="B645" s="3" t="e">
        <f t="array" aca="1" ref="B645" ca="1">_xludf.XLOOKUP(A645,duobahlul_videos!$A$1:$A$52,duobahlul_videos!$B$1:$B$52)</f>
        <v>#NAME?</v>
      </c>
      <c r="C645" s="3" t="s">
        <v>1550</v>
      </c>
      <c r="D645" s="3">
        <v>10</v>
      </c>
      <c r="E645" s="3" t="s">
        <v>1551</v>
      </c>
    </row>
    <row r="646" spans="1:5" ht="13" hidden="1" x14ac:dyDescent="0.15">
      <c r="A646" s="3" t="s">
        <v>304</v>
      </c>
      <c r="B646" s="3" t="e">
        <f t="array" aca="1" ref="B646" ca="1">_xludf.XLOOKUP(A646,duobahlul_videos!$A$1:$A$52,duobahlul_videos!$B$1:$B$52)</f>
        <v>#NAME?</v>
      </c>
      <c r="C646" s="3" t="s">
        <v>1552</v>
      </c>
      <c r="D646" s="3">
        <v>49</v>
      </c>
      <c r="E646" s="3" t="s">
        <v>1553</v>
      </c>
    </row>
    <row r="647" spans="1:5" ht="13" hidden="1" x14ac:dyDescent="0.15">
      <c r="A647" s="3" t="s">
        <v>304</v>
      </c>
      <c r="B647" s="3" t="e">
        <f t="array" aca="1" ref="B647" ca="1">_xludf.XLOOKUP(A647,duobahlul_videos!$A$1:$A$52,duobahlul_videos!$B$1:$B$52)</f>
        <v>#NAME?</v>
      </c>
      <c r="C647" s="3" t="s">
        <v>1554</v>
      </c>
      <c r="D647" s="3">
        <v>14</v>
      </c>
      <c r="E647" s="3" t="s">
        <v>1555</v>
      </c>
    </row>
    <row r="648" spans="1:5" ht="13" hidden="1" x14ac:dyDescent="0.15">
      <c r="A648" s="3" t="s">
        <v>304</v>
      </c>
      <c r="B648" s="3" t="e">
        <f t="array" aca="1" ref="B648" ca="1">_xludf.XLOOKUP(A648,duobahlul_videos!$A$1:$A$52,duobahlul_videos!$B$1:$B$52)</f>
        <v>#NAME?</v>
      </c>
      <c r="C648" s="3" t="s">
        <v>1556</v>
      </c>
      <c r="D648" s="3">
        <v>26</v>
      </c>
      <c r="E648" s="3" t="s">
        <v>1557</v>
      </c>
    </row>
    <row r="649" spans="1:5" ht="13" hidden="1" x14ac:dyDescent="0.15">
      <c r="A649" s="3" t="s">
        <v>304</v>
      </c>
      <c r="B649" s="3" t="e">
        <f t="array" aca="1" ref="B649" ca="1">_xludf.XLOOKUP(A649,duobahlul_videos!$A$1:$A$52,duobahlul_videos!$B$1:$B$52)</f>
        <v>#NAME?</v>
      </c>
      <c r="C649" s="3" t="s">
        <v>1558</v>
      </c>
      <c r="D649" s="3">
        <v>9</v>
      </c>
      <c r="E649" s="3" t="s">
        <v>1559</v>
      </c>
    </row>
    <row r="650" spans="1:5" ht="13" hidden="1" x14ac:dyDescent="0.15">
      <c r="A650" s="3" t="s">
        <v>304</v>
      </c>
      <c r="B650" s="3" t="e">
        <f t="array" aca="1" ref="B650" ca="1">_xludf.XLOOKUP(A650,duobahlul_videos!$A$1:$A$52,duobahlul_videos!$B$1:$B$52)</f>
        <v>#NAME?</v>
      </c>
      <c r="C650" s="3" t="s">
        <v>1560</v>
      </c>
      <c r="D650" s="3">
        <v>10</v>
      </c>
      <c r="E650" s="3" t="s">
        <v>1561</v>
      </c>
    </row>
    <row r="651" spans="1:5" ht="13" hidden="1" x14ac:dyDescent="0.15">
      <c r="A651" s="3" t="s">
        <v>304</v>
      </c>
      <c r="B651" s="3" t="e">
        <f t="array" aca="1" ref="B651" ca="1">_xludf.XLOOKUP(A651,duobahlul_videos!$A$1:$A$52,duobahlul_videos!$B$1:$B$52)</f>
        <v>#NAME?</v>
      </c>
      <c r="C651" s="3" t="s">
        <v>1562</v>
      </c>
      <c r="D651" s="3">
        <v>9</v>
      </c>
      <c r="E651" s="3" t="s">
        <v>1563</v>
      </c>
    </row>
    <row r="652" spans="1:5" ht="13" hidden="1" x14ac:dyDescent="0.15">
      <c r="A652" s="3" t="s">
        <v>304</v>
      </c>
      <c r="B652" s="3" t="e">
        <f t="array" aca="1" ref="B652" ca="1">_xludf.XLOOKUP(A652,duobahlul_videos!$A$1:$A$52,duobahlul_videos!$B$1:$B$52)</f>
        <v>#NAME?</v>
      </c>
      <c r="C652" s="3" t="s">
        <v>1564</v>
      </c>
      <c r="D652" s="3">
        <v>10</v>
      </c>
      <c r="E652" s="3" t="s">
        <v>1565</v>
      </c>
    </row>
    <row r="653" spans="1:5" ht="13" hidden="1" x14ac:dyDescent="0.15">
      <c r="A653" s="3" t="s">
        <v>304</v>
      </c>
      <c r="B653" s="3" t="e">
        <f t="array" aca="1" ref="B653" ca="1">_xludf.XLOOKUP(A653,duobahlul_videos!$A$1:$A$52,duobahlul_videos!$B$1:$B$52)</f>
        <v>#NAME?</v>
      </c>
      <c r="C653" s="3" t="s">
        <v>1566</v>
      </c>
      <c r="D653" s="3">
        <v>3</v>
      </c>
      <c r="E653" s="3" t="s">
        <v>1567</v>
      </c>
    </row>
    <row r="654" spans="1:5" ht="13" hidden="1" x14ac:dyDescent="0.15">
      <c r="A654" s="3" t="s">
        <v>304</v>
      </c>
      <c r="B654" s="3" t="e">
        <f t="array" aca="1" ref="B654" ca="1">_xludf.XLOOKUP(A654,duobahlul_videos!$A$1:$A$52,duobahlul_videos!$B$1:$B$52)</f>
        <v>#NAME?</v>
      </c>
      <c r="C654" s="3" t="s">
        <v>1568</v>
      </c>
      <c r="D654" s="3">
        <v>11</v>
      </c>
      <c r="E654" s="3" t="s">
        <v>1569</v>
      </c>
    </row>
    <row r="655" spans="1:5" ht="13" hidden="1" x14ac:dyDescent="0.15">
      <c r="A655" s="3" t="s">
        <v>304</v>
      </c>
      <c r="B655" s="3" t="e">
        <f t="array" aca="1" ref="B655" ca="1">_xludf.XLOOKUP(A655,duobahlul_videos!$A$1:$A$52,duobahlul_videos!$B$1:$B$52)</f>
        <v>#NAME?</v>
      </c>
      <c r="C655" s="3" t="s">
        <v>1570</v>
      </c>
      <c r="D655" s="3">
        <v>13</v>
      </c>
      <c r="E655" s="3" t="s">
        <v>1571</v>
      </c>
    </row>
    <row r="656" spans="1:5" ht="13" hidden="1" x14ac:dyDescent="0.15">
      <c r="A656" s="3" t="s">
        <v>304</v>
      </c>
      <c r="B656" s="3" t="e">
        <f t="array" aca="1" ref="B656" ca="1">_xludf.XLOOKUP(A656,duobahlul_videos!$A$1:$A$52,duobahlul_videos!$B$1:$B$52)</f>
        <v>#NAME?</v>
      </c>
      <c r="C656" s="3" t="s">
        <v>1572</v>
      </c>
      <c r="D656" s="3">
        <v>8</v>
      </c>
      <c r="E656" s="3" t="s">
        <v>1573</v>
      </c>
    </row>
    <row r="657" spans="1:5" ht="13" hidden="1" x14ac:dyDescent="0.15">
      <c r="A657" s="3" t="s">
        <v>304</v>
      </c>
      <c r="B657" s="3" t="e">
        <f t="array" aca="1" ref="B657" ca="1">_xludf.XLOOKUP(A657,duobahlul_videos!$A$1:$A$52,duobahlul_videos!$B$1:$B$52)</f>
        <v>#NAME?</v>
      </c>
      <c r="C657" s="3" t="s">
        <v>1574</v>
      </c>
      <c r="D657" s="3">
        <v>12</v>
      </c>
      <c r="E657" s="3" t="s">
        <v>1575</v>
      </c>
    </row>
    <row r="658" spans="1:5" ht="13" hidden="1" x14ac:dyDescent="0.15">
      <c r="A658" s="3" t="s">
        <v>304</v>
      </c>
      <c r="B658" s="3" t="e">
        <f t="array" aca="1" ref="B658" ca="1">_xludf.XLOOKUP(A658,duobahlul_videos!$A$1:$A$52,duobahlul_videos!$B$1:$B$52)</f>
        <v>#NAME?</v>
      </c>
      <c r="C658" s="3" t="s">
        <v>1576</v>
      </c>
      <c r="D658" s="3">
        <v>13</v>
      </c>
      <c r="E658" s="3" t="s">
        <v>1577</v>
      </c>
    </row>
    <row r="659" spans="1:5" ht="13" hidden="1" x14ac:dyDescent="0.15">
      <c r="A659" s="3" t="s">
        <v>304</v>
      </c>
      <c r="B659" s="3" t="e">
        <f t="array" aca="1" ref="B659" ca="1">_xludf.XLOOKUP(A659,duobahlul_videos!$A$1:$A$52,duobahlul_videos!$B$1:$B$52)</f>
        <v>#NAME?</v>
      </c>
      <c r="C659" s="3" t="s">
        <v>1578</v>
      </c>
      <c r="D659" s="3">
        <v>14</v>
      </c>
      <c r="E659" s="3" t="s">
        <v>1579</v>
      </c>
    </row>
    <row r="660" spans="1:5" ht="13" hidden="1" x14ac:dyDescent="0.15">
      <c r="A660" s="3" t="s">
        <v>304</v>
      </c>
      <c r="B660" s="3" t="e">
        <f t="array" aca="1" ref="B660" ca="1">_xludf.XLOOKUP(A660,duobahlul_videos!$A$1:$A$52,duobahlul_videos!$B$1:$B$52)</f>
        <v>#NAME?</v>
      </c>
      <c r="C660" s="3" t="s">
        <v>1580</v>
      </c>
      <c r="D660" s="3">
        <v>5</v>
      </c>
      <c r="E660" s="3" t="s">
        <v>1581</v>
      </c>
    </row>
    <row r="661" spans="1:5" ht="13" hidden="1" x14ac:dyDescent="0.15">
      <c r="A661" s="3" t="s">
        <v>304</v>
      </c>
      <c r="B661" s="3" t="e">
        <f t="array" aca="1" ref="B661" ca="1">_xludf.XLOOKUP(A661,duobahlul_videos!$A$1:$A$52,duobahlul_videos!$B$1:$B$52)</f>
        <v>#NAME?</v>
      </c>
      <c r="C661" s="3" t="s">
        <v>1582</v>
      </c>
      <c r="D661" s="3">
        <v>6</v>
      </c>
      <c r="E661" s="3" t="s">
        <v>1583</v>
      </c>
    </row>
    <row r="662" spans="1:5" ht="13" hidden="1" x14ac:dyDescent="0.15">
      <c r="A662" s="3" t="s">
        <v>109</v>
      </c>
      <c r="B662" s="3" t="e">
        <f t="array" aca="1" ref="B662" ca="1">_xludf.XLOOKUP(A662,duobahlul_videos!$A$1:$A$52,duobahlul_videos!$B$1:$B$52)</f>
        <v>#NAME?</v>
      </c>
      <c r="C662" s="3" t="s">
        <v>1584</v>
      </c>
      <c r="D662" s="3">
        <v>200</v>
      </c>
      <c r="E662" s="3" t="s">
        <v>1585</v>
      </c>
    </row>
    <row r="663" spans="1:5" ht="13" hidden="1" x14ac:dyDescent="0.15">
      <c r="A663" s="3" t="s">
        <v>109</v>
      </c>
      <c r="B663" s="3" t="e">
        <f t="array" aca="1" ref="B663" ca="1">_xludf.XLOOKUP(A663,duobahlul_videos!$A$1:$A$52,duobahlul_videos!$B$1:$B$52)</f>
        <v>#NAME?</v>
      </c>
      <c r="C663" s="3" t="s">
        <v>1586</v>
      </c>
      <c r="D663" s="3">
        <v>219</v>
      </c>
      <c r="E663" s="3" t="s">
        <v>1587</v>
      </c>
    </row>
    <row r="664" spans="1:5" ht="13" hidden="1" x14ac:dyDescent="0.15">
      <c r="A664" s="3" t="s">
        <v>109</v>
      </c>
      <c r="B664" s="3" t="e">
        <f t="array" aca="1" ref="B664" ca="1">_xludf.XLOOKUP(A664,duobahlul_videos!$A$1:$A$52,duobahlul_videos!$B$1:$B$52)</f>
        <v>#NAME?</v>
      </c>
      <c r="C664" s="3" t="s">
        <v>1588</v>
      </c>
      <c r="D664" s="3">
        <v>68</v>
      </c>
      <c r="E664" s="3" t="s">
        <v>1589</v>
      </c>
    </row>
    <row r="665" spans="1:5" ht="13" hidden="1" x14ac:dyDescent="0.15">
      <c r="A665" s="3" t="s">
        <v>109</v>
      </c>
      <c r="B665" s="3" t="e">
        <f t="array" aca="1" ref="B665" ca="1">_xludf.XLOOKUP(A665,duobahlul_videos!$A$1:$A$52,duobahlul_videos!$B$1:$B$52)</f>
        <v>#NAME?</v>
      </c>
      <c r="C665" s="3" t="s">
        <v>1590</v>
      </c>
      <c r="D665" s="3">
        <v>109</v>
      </c>
      <c r="E665" s="3" t="s">
        <v>1591</v>
      </c>
    </row>
    <row r="666" spans="1:5" ht="13" hidden="1" x14ac:dyDescent="0.15">
      <c r="A666" s="3" t="s">
        <v>109</v>
      </c>
      <c r="B666" s="3" t="e">
        <f t="array" aca="1" ref="B666" ca="1">_xludf.XLOOKUP(A666,duobahlul_videos!$A$1:$A$52,duobahlul_videos!$B$1:$B$52)</f>
        <v>#NAME?</v>
      </c>
      <c r="C666" s="3" t="s">
        <v>1592</v>
      </c>
      <c r="D666" s="3">
        <v>194</v>
      </c>
      <c r="E666" s="3" t="s">
        <v>1593</v>
      </c>
    </row>
    <row r="667" spans="1:5" ht="13" hidden="1" x14ac:dyDescent="0.15">
      <c r="A667" s="3" t="s">
        <v>109</v>
      </c>
      <c r="B667" s="3" t="e">
        <f t="array" aca="1" ref="B667" ca="1">_xludf.XLOOKUP(A667,duobahlul_videos!$A$1:$A$52,duobahlul_videos!$B$1:$B$52)</f>
        <v>#NAME?</v>
      </c>
      <c r="C667" s="3" t="s">
        <v>1594</v>
      </c>
      <c r="D667" s="3">
        <v>14</v>
      </c>
      <c r="E667" s="3" t="s">
        <v>1595</v>
      </c>
    </row>
    <row r="668" spans="1:5" ht="13" hidden="1" x14ac:dyDescent="0.15">
      <c r="A668" s="3" t="s">
        <v>109</v>
      </c>
      <c r="B668" s="3" t="e">
        <f t="array" aca="1" ref="B668" ca="1">_xludf.XLOOKUP(A668,duobahlul_videos!$A$1:$A$52,duobahlul_videos!$B$1:$B$52)</f>
        <v>#NAME?</v>
      </c>
      <c r="C668" s="3" t="s">
        <v>1596</v>
      </c>
      <c r="D668" s="3">
        <v>17</v>
      </c>
      <c r="E668" s="3" t="s">
        <v>1597</v>
      </c>
    </row>
    <row r="669" spans="1:5" ht="13" hidden="1" x14ac:dyDescent="0.15">
      <c r="A669" s="3" t="s">
        <v>109</v>
      </c>
      <c r="B669" s="3" t="e">
        <f t="array" aca="1" ref="B669" ca="1">_xludf.XLOOKUP(A669,duobahlul_videos!$A$1:$A$52,duobahlul_videos!$B$1:$B$52)</f>
        <v>#NAME?</v>
      </c>
      <c r="C669" s="3" t="s">
        <v>1598</v>
      </c>
      <c r="D669" s="3">
        <v>24</v>
      </c>
      <c r="E669" s="3" t="s">
        <v>1599</v>
      </c>
    </row>
    <row r="670" spans="1:5" ht="13" hidden="1" x14ac:dyDescent="0.15">
      <c r="A670" s="3" t="s">
        <v>109</v>
      </c>
      <c r="B670" s="3" t="e">
        <f t="array" aca="1" ref="B670" ca="1">_xludf.XLOOKUP(A670,duobahlul_videos!$A$1:$A$52,duobahlul_videos!$B$1:$B$52)</f>
        <v>#NAME?</v>
      </c>
      <c r="C670" s="3" t="s">
        <v>1600</v>
      </c>
      <c r="D670" s="3">
        <v>46</v>
      </c>
      <c r="E670" s="3" t="s">
        <v>1601</v>
      </c>
    </row>
    <row r="671" spans="1:5" ht="13" hidden="1" x14ac:dyDescent="0.15">
      <c r="A671" s="3" t="s">
        <v>109</v>
      </c>
      <c r="B671" s="3" t="e">
        <f t="array" aca="1" ref="B671" ca="1">_xludf.XLOOKUP(A671,duobahlul_videos!$A$1:$A$52,duobahlul_videos!$B$1:$B$52)</f>
        <v>#NAME?</v>
      </c>
      <c r="C671" s="3" t="s">
        <v>1602</v>
      </c>
      <c r="D671" s="3">
        <v>23</v>
      </c>
      <c r="E671" s="3" t="s">
        <v>1603</v>
      </c>
    </row>
    <row r="672" spans="1:5" ht="13" hidden="1" x14ac:dyDescent="0.15">
      <c r="A672" s="3" t="s">
        <v>109</v>
      </c>
      <c r="B672" s="3" t="e">
        <f t="array" aca="1" ref="B672" ca="1">_xludf.XLOOKUP(A672,duobahlul_videos!$A$1:$A$52,duobahlul_videos!$B$1:$B$52)</f>
        <v>#NAME?</v>
      </c>
      <c r="C672" s="3" t="s">
        <v>1604</v>
      </c>
      <c r="D672" s="3">
        <v>62</v>
      </c>
      <c r="E672" s="3" t="s">
        <v>1605</v>
      </c>
    </row>
    <row r="673" spans="1:5" ht="13" hidden="1" x14ac:dyDescent="0.15">
      <c r="A673" s="3" t="s">
        <v>109</v>
      </c>
      <c r="B673" s="3" t="e">
        <f t="array" aca="1" ref="B673" ca="1">_xludf.XLOOKUP(A673,duobahlul_videos!$A$1:$A$52,duobahlul_videos!$B$1:$B$52)</f>
        <v>#NAME?</v>
      </c>
      <c r="C673" s="3" t="s">
        <v>1606</v>
      </c>
      <c r="D673" s="3">
        <v>78</v>
      </c>
      <c r="E673" s="3" t="s">
        <v>1607</v>
      </c>
    </row>
    <row r="674" spans="1:5" ht="13" hidden="1" x14ac:dyDescent="0.15">
      <c r="A674" s="3" t="s">
        <v>109</v>
      </c>
      <c r="B674" s="3" t="e">
        <f t="array" aca="1" ref="B674" ca="1">_xludf.XLOOKUP(A674,duobahlul_videos!$A$1:$A$52,duobahlul_videos!$B$1:$B$52)</f>
        <v>#NAME?</v>
      </c>
      <c r="C674" s="3" t="s">
        <v>1608</v>
      </c>
      <c r="D674" s="3">
        <v>7</v>
      </c>
      <c r="E674" s="3" t="s">
        <v>1609</v>
      </c>
    </row>
    <row r="675" spans="1:5" ht="13" hidden="1" x14ac:dyDescent="0.15">
      <c r="A675" s="3" t="s">
        <v>109</v>
      </c>
      <c r="B675" s="3" t="e">
        <f t="array" aca="1" ref="B675" ca="1">_xludf.XLOOKUP(A675,duobahlul_videos!$A$1:$A$52,duobahlul_videos!$B$1:$B$52)</f>
        <v>#NAME?</v>
      </c>
      <c r="C675" s="3" t="s">
        <v>1610</v>
      </c>
      <c r="D675" s="3">
        <v>22</v>
      </c>
      <c r="E675" s="3" t="s">
        <v>1611</v>
      </c>
    </row>
    <row r="676" spans="1:5" ht="13" hidden="1" x14ac:dyDescent="0.15">
      <c r="A676" s="3" t="s">
        <v>109</v>
      </c>
      <c r="B676" s="3" t="e">
        <f t="array" aca="1" ref="B676" ca="1">_xludf.XLOOKUP(A676,duobahlul_videos!$A$1:$A$52,duobahlul_videos!$B$1:$B$52)</f>
        <v>#NAME?</v>
      </c>
      <c r="C676" s="3" t="s">
        <v>1612</v>
      </c>
      <c r="D676" s="3">
        <v>13</v>
      </c>
      <c r="E676" s="3" t="s">
        <v>1613</v>
      </c>
    </row>
    <row r="677" spans="1:5" ht="13" hidden="1" x14ac:dyDescent="0.15">
      <c r="A677" s="3" t="s">
        <v>109</v>
      </c>
      <c r="B677" s="3" t="e">
        <f t="array" aca="1" ref="B677" ca="1">_xludf.XLOOKUP(A677,duobahlul_videos!$A$1:$A$52,duobahlul_videos!$B$1:$B$52)</f>
        <v>#NAME?</v>
      </c>
      <c r="C677" s="3" t="s">
        <v>1614</v>
      </c>
      <c r="D677" s="3">
        <v>19</v>
      </c>
      <c r="E677" s="3" t="s">
        <v>1615</v>
      </c>
    </row>
    <row r="678" spans="1:5" ht="13" hidden="1" x14ac:dyDescent="0.15">
      <c r="A678" s="3" t="s">
        <v>109</v>
      </c>
      <c r="B678" s="3" t="e">
        <f t="array" aca="1" ref="B678" ca="1">_xludf.XLOOKUP(A678,duobahlul_videos!$A$1:$A$52,duobahlul_videos!$B$1:$B$52)</f>
        <v>#NAME?</v>
      </c>
      <c r="C678" s="3" t="s">
        <v>1616</v>
      </c>
      <c r="D678" s="3">
        <v>15</v>
      </c>
      <c r="E678" s="3" t="s">
        <v>1617</v>
      </c>
    </row>
    <row r="679" spans="1:5" ht="13" hidden="1" x14ac:dyDescent="0.15">
      <c r="A679" s="3" t="s">
        <v>109</v>
      </c>
      <c r="B679" s="3" t="e">
        <f t="array" aca="1" ref="B679" ca="1">_xludf.XLOOKUP(A679,duobahlul_videos!$A$1:$A$52,duobahlul_videos!$B$1:$B$52)</f>
        <v>#NAME?</v>
      </c>
      <c r="C679" s="3" t="s">
        <v>1618</v>
      </c>
      <c r="D679" s="3">
        <v>43</v>
      </c>
      <c r="E679" s="3" t="s">
        <v>1619</v>
      </c>
    </row>
    <row r="680" spans="1:5" ht="13" hidden="1" x14ac:dyDescent="0.15">
      <c r="A680" s="3" t="s">
        <v>109</v>
      </c>
      <c r="B680" s="3" t="e">
        <f t="array" aca="1" ref="B680" ca="1">_xludf.XLOOKUP(A680,duobahlul_videos!$A$1:$A$52,duobahlul_videos!$B$1:$B$52)</f>
        <v>#NAME?</v>
      </c>
      <c r="C680" s="3" t="s">
        <v>1620</v>
      </c>
      <c r="D680" s="3">
        <v>14</v>
      </c>
      <c r="E680" s="3" t="s">
        <v>1621</v>
      </c>
    </row>
    <row r="681" spans="1:5" ht="13" hidden="1" x14ac:dyDescent="0.15">
      <c r="A681" s="3" t="s">
        <v>109</v>
      </c>
      <c r="B681" s="3" t="e">
        <f t="array" aca="1" ref="B681" ca="1">_xludf.XLOOKUP(A681,duobahlul_videos!$A$1:$A$52,duobahlul_videos!$B$1:$B$52)</f>
        <v>#NAME?</v>
      </c>
      <c r="C681" s="3" t="s">
        <v>1622</v>
      </c>
      <c r="D681" s="3">
        <v>52</v>
      </c>
      <c r="E681" s="3" t="s">
        <v>1623</v>
      </c>
    </row>
    <row r="682" spans="1:5" ht="13" hidden="1" x14ac:dyDescent="0.15">
      <c r="A682" s="3" t="s">
        <v>102</v>
      </c>
      <c r="B682" s="3" t="e">
        <f t="array" aca="1" ref="B682" ca="1">_xludf.XLOOKUP(A682,duobahlul_videos!$A$1:$A$52,duobahlul_videos!$B$1:$B$52)</f>
        <v>#NAME?</v>
      </c>
      <c r="C682" s="3" t="s">
        <v>1624</v>
      </c>
      <c r="D682" s="3">
        <v>72</v>
      </c>
      <c r="E682" s="3" t="s">
        <v>1625</v>
      </c>
    </row>
    <row r="683" spans="1:5" ht="13" hidden="1" x14ac:dyDescent="0.15">
      <c r="A683" s="3" t="s">
        <v>102</v>
      </c>
      <c r="B683" s="3" t="e">
        <f t="array" aca="1" ref="B683" ca="1">_xludf.XLOOKUP(A683,duobahlul_videos!$A$1:$A$52,duobahlul_videos!$B$1:$B$52)</f>
        <v>#NAME?</v>
      </c>
      <c r="C683" s="3" t="s">
        <v>1626</v>
      </c>
      <c r="D683" s="3">
        <v>433</v>
      </c>
      <c r="E683" s="3" t="s">
        <v>1627</v>
      </c>
    </row>
    <row r="684" spans="1:5" ht="13" hidden="1" x14ac:dyDescent="0.15">
      <c r="A684" s="3" t="s">
        <v>102</v>
      </c>
      <c r="B684" s="3" t="e">
        <f t="array" aca="1" ref="B684" ca="1">_xludf.XLOOKUP(A684,duobahlul_videos!$A$1:$A$52,duobahlul_videos!$B$1:$B$52)</f>
        <v>#NAME?</v>
      </c>
      <c r="C684" s="3" t="s">
        <v>1628</v>
      </c>
      <c r="D684" s="3">
        <v>260</v>
      </c>
      <c r="E684" s="3" t="s">
        <v>1629</v>
      </c>
    </row>
    <row r="685" spans="1:5" ht="13" hidden="1" x14ac:dyDescent="0.15">
      <c r="A685" s="3" t="s">
        <v>102</v>
      </c>
      <c r="B685" s="3" t="e">
        <f t="array" aca="1" ref="B685" ca="1">_xludf.XLOOKUP(A685,duobahlul_videos!$A$1:$A$52,duobahlul_videos!$B$1:$B$52)</f>
        <v>#NAME?</v>
      </c>
      <c r="C685" s="3" t="s">
        <v>1630</v>
      </c>
      <c r="D685" s="3">
        <v>65</v>
      </c>
      <c r="E685" s="3" t="s">
        <v>1631</v>
      </c>
    </row>
    <row r="686" spans="1:5" ht="13" hidden="1" x14ac:dyDescent="0.15">
      <c r="A686" s="3" t="s">
        <v>102</v>
      </c>
      <c r="B686" s="3" t="e">
        <f t="array" aca="1" ref="B686" ca="1">_xludf.XLOOKUP(A686,duobahlul_videos!$A$1:$A$52,duobahlul_videos!$B$1:$B$52)</f>
        <v>#NAME?</v>
      </c>
      <c r="C686" s="3" t="s">
        <v>1632</v>
      </c>
      <c r="D686" s="3">
        <v>282</v>
      </c>
      <c r="E686" s="3" t="s">
        <v>1633</v>
      </c>
    </row>
    <row r="687" spans="1:5" ht="13" hidden="1" x14ac:dyDescent="0.15">
      <c r="A687" s="3" t="s">
        <v>102</v>
      </c>
      <c r="B687" s="3" t="e">
        <f t="array" aca="1" ref="B687" ca="1">_xludf.XLOOKUP(A687,duobahlul_videos!$A$1:$A$52,duobahlul_videos!$B$1:$B$52)</f>
        <v>#NAME?</v>
      </c>
      <c r="C687" s="3" t="s">
        <v>1634</v>
      </c>
      <c r="D687" s="3">
        <v>211</v>
      </c>
      <c r="E687" s="3" t="s">
        <v>1635</v>
      </c>
    </row>
    <row r="688" spans="1:5" ht="13" hidden="1" x14ac:dyDescent="0.15">
      <c r="A688" s="3" t="s">
        <v>102</v>
      </c>
      <c r="B688" s="3" t="e">
        <f t="array" aca="1" ref="B688" ca="1">_xludf.XLOOKUP(A688,duobahlul_videos!$A$1:$A$52,duobahlul_videos!$B$1:$B$52)</f>
        <v>#NAME?</v>
      </c>
      <c r="C688" s="3" t="s">
        <v>1636</v>
      </c>
      <c r="D688" s="3">
        <v>141</v>
      </c>
      <c r="E688" s="3" t="s">
        <v>1637</v>
      </c>
    </row>
    <row r="689" spans="1:5" ht="13" hidden="1" x14ac:dyDescent="0.15">
      <c r="A689" s="3" t="s">
        <v>102</v>
      </c>
      <c r="B689" s="3" t="e">
        <f t="array" aca="1" ref="B689" ca="1">_xludf.XLOOKUP(A689,duobahlul_videos!$A$1:$A$52,duobahlul_videos!$B$1:$B$52)</f>
        <v>#NAME?</v>
      </c>
      <c r="C689" s="3" t="s">
        <v>1638</v>
      </c>
      <c r="D689" s="3">
        <v>31</v>
      </c>
      <c r="E689" s="3" t="s">
        <v>1639</v>
      </c>
    </row>
    <row r="690" spans="1:5" ht="13" hidden="1" x14ac:dyDescent="0.15">
      <c r="A690" s="3" t="s">
        <v>102</v>
      </c>
      <c r="B690" s="3" t="e">
        <f t="array" aca="1" ref="B690" ca="1">_xludf.XLOOKUP(A690,duobahlul_videos!$A$1:$A$52,duobahlul_videos!$B$1:$B$52)</f>
        <v>#NAME?</v>
      </c>
      <c r="C690" s="3" t="s">
        <v>1640</v>
      </c>
      <c r="D690" s="3">
        <v>16</v>
      </c>
      <c r="E690" s="3" t="s">
        <v>1641</v>
      </c>
    </row>
    <row r="691" spans="1:5" ht="13" hidden="1" x14ac:dyDescent="0.15">
      <c r="A691" s="3" t="s">
        <v>102</v>
      </c>
      <c r="B691" s="3" t="e">
        <f t="array" aca="1" ref="B691" ca="1">_xludf.XLOOKUP(A691,duobahlul_videos!$A$1:$A$52,duobahlul_videos!$B$1:$B$52)</f>
        <v>#NAME?</v>
      </c>
      <c r="C691" s="3" t="s">
        <v>1642</v>
      </c>
      <c r="D691" s="3">
        <v>2</v>
      </c>
      <c r="E691" s="3" t="s">
        <v>1643</v>
      </c>
    </row>
    <row r="692" spans="1:5" ht="13" hidden="1" x14ac:dyDescent="0.15">
      <c r="A692" s="3" t="s">
        <v>102</v>
      </c>
      <c r="B692" s="3" t="e">
        <f t="array" aca="1" ref="B692" ca="1">_xludf.XLOOKUP(A692,duobahlul_videos!$A$1:$A$52,duobahlul_videos!$B$1:$B$52)</f>
        <v>#NAME?</v>
      </c>
      <c r="C692" s="3" t="s">
        <v>1644</v>
      </c>
      <c r="D692" s="3">
        <v>268</v>
      </c>
      <c r="E692" s="3" t="s">
        <v>1645</v>
      </c>
    </row>
    <row r="693" spans="1:5" ht="13" hidden="1" x14ac:dyDescent="0.15">
      <c r="A693" s="3" t="s">
        <v>102</v>
      </c>
      <c r="B693" s="3" t="e">
        <f t="array" aca="1" ref="B693" ca="1">_xludf.XLOOKUP(A693,duobahlul_videos!$A$1:$A$52,duobahlul_videos!$B$1:$B$52)</f>
        <v>#NAME?</v>
      </c>
      <c r="C693" s="3" t="s">
        <v>1646</v>
      </c>
      <c r="D693" s="3">
        <v>31</v>
      </c>
      <c r="E693" s="3" t="s">
        <v>1647</v>
      </c>
    </row>
    <row r="694" spans="1:5" ht="13" hidden="1" x14ac:dyDescent="0.15">
      <c r="A694" s="3" t="s">
        <v>102</v>
      </c>
      <c r="B694" s="3" t="e">
        <f t="array" aca="1" ref="B694" ca="1">_xludf.XLOOKUP(A694,duobahlul_videos!$A$1:$A$52,duobahlul_videos!$B$1:$B$52)</f>
        <v>#NAME?</v>
      </c>
      <c r="C694" s="3" t="s">
        <v>1648</v>
      </c>
      <c r="D694" s="3">
        <v>17</v>
      </c>
      <c r="E694" s="3" t="s">
        <v>1649</v>
      </c>
    </row>
    <row r="695" spans="1:5" ht="13" hidden="1" x14ac:dyDescent="0.15">
      <c r="A695" s="3" t="s">
        <v>102</v>
      </c>
      <c r="B695" s="3" t="e">
        <f t="array" aca="1" ref="B695" ca="1">_xludf.XLOOKUP(A695,duobahlul_videos!$A$1:$A$52,duobahlul_videos!$B$1:$B$52)</f>
        <v>#NAME?</v>
      </c>
      <c r="C695" s="3" t="s">
        <v>1650</v>
      </c>
      <c r="D695" s="3">
        <v>15</v>
      </c>
      <c r="E695" s="3" t="s">
        <v>1651</v>
      </c>
    </row>
    <row r="696" spans="1:5" ht="13" hidden="1" x14ac:dyDescent="0.15">
      <c r="A696" s="3" t="s">
        <v>102</v>
      </c>
      <c r="B696" s="3" t="e">
        <f t="array" aca="1" ref="B696" ca="1">_xludf.XLOOKUP(A696,duobahlul_videos!$A$1:$A$52,duobahlul_videos!$B$1:$B$52)</f>
        <v>#NAME?</v>
      </c>
      <c r="C696" s="3" t="s">
        <v>1652</v>
      </c>
      <c r="D696" s="3">
        <v>22</v>
      </c>
      <c r="E696" s="3" t="s">
        <v>1653</v>
      </c>
    </row>
    <row r="697" spans="1:5" ht="13" hidden="1" x14ac:dyDescent="0.15">
      <c r="A697" s="3" t="s">
        <v>102</v>
      </c>
      <c r="B697" s="3" t="e">
        <f t="array" aca="1" ref="B697" ca="1">_xludf.XLOOKUP(A697,duobahlul_videos!$A$1:$A$52,duobahlul_videos!$B$1:$B$52)</f>
        <v>#NAME?</v>
      </c>
      <c r="C697" s="3" t="s">
        <v>1654</v>
      </c>
      <c r="D697" s="3">
        <v>30</v>
      </c>
      <c r="E697" s="3" t="s">
        <v>1655</v>
      </c>
    </row>
    <row r="698" spans="1:5" ht="13" hidden="1" x14ac:dyDescent="0.15">
      <c r="A698" s="3" t="s">
        <v>102</v>
      </c>
      <c r="B698" s="3" t="e">
        <f t="array" aca="1" ref="B698" ca="1">_xludf.XLOOKUP(A698,duobahlul_videos!$A$1:$A$52,duobahlul_videos!$B$1:$B$52)</f>
        <v>#NAME?</v>
      </c>
      <c r="C698" s="3" t="s">
        <v>1656</v>
      </c>
      <c r="D698" s="3">
        <v>17</v>
      </c>
      <c r="E698" s="3" t="s">
        <v>1657</v>
      </c>
    </row>
    <row r="699" spans="1:5" ht="13" hidden="1" x14ac:dyDescent="0.15">
      <c r="A699" s="3" t="s">
        <v>102</v>
      </c>
      <c r="B699" s="3" t="e">
        <f t="array" aca="1" ref="B699" ca="1">_xludf.XLOOKUP(A699,duobahlul_videos!$A$1:$A$52,duobahlul_videos!$B$1:$B$52)</f>
        <v>#NAME?</v>
      </c>
      <c r="C699" s="3" t="s">
        <v>1658</v>
      </c>
      <c r="D699" s="3">
        <v>26</v>
      </c>
      <c r="E699" s="3" t="s">
        <v>1659</v>
      </c>
    </row>
    <row r="700" spans="1:5" ht="13" hidden="1" x14ac:dyDescent="0.15">
      <c r="A700" s="3" t="s">
        <v>102</v>
      </c>
      <c r="B700" s="3" t="e">
        <f t="array" aca="1" ref="B700" ca="1">_xludf.XLOOKUP(A700,duobahlul_videos!$A$1:$A$52,duobahlul_videos!$B$1:$B$52)</f>
        <v>#NAME?</v>
      </c>
      <c r="C700" s="3" t="s">
        <v>1660</v>
      </c>
      <c r="D700" s="3">
        <v>102</v>
      </c>
      <c r="E700" s="3" t="s">
        <v>1661</v>
      </c>
    </row>
    <row r="701" spans="1:5" ht="13" hidden="1" x14ac:dyDescent="0.15">
      <c r="A701" s="3" t="s">
        <v>102</v>
      </c>
      <c r="B701" s="3" t="e">
        <f t="array" aca="1" ref="B701" ca="1">_xludf.XLOOKUP(A701,duobahlul_videos!$A$1:$A$52,duobahlul_videos!$B$1:$B$52)</f>
        <v>#NAME?</v>
      </c>
      <c r="C701" s="3" t="s">
        <v>1662</v>
      </c>
      <c r="D701" s="3">
        <v>3</v>
      </c>
      <c r="E701" s="3" t="s">
        <v>1663</v>
      </c>
    </row>
    <row r="702" spans="1:5" ht="13" hidden="1" x14ac:dyDescent="0.15">
      <c r="A702" s="3" t="s">
        <v>365</v>
      </c>
      <c r="B702" s="3" t="e">
        <f t="array" aca="1" ref="B702" ca="1">_xludf.XLOOKUP(A702,duobahlul_videos!$A$1:$A$52,duobahlul_videos!$B$1:$B$52)</f>
        <v>#NAME?</v>
      </c>
      <c r="C702" s="3" t="s">
        <v>1664</v>
      </c>
      <c r="D702" s="3">
        <v>67</v>
      </c>
      <c r="E702" s="3" t="s">
        <v>1665</v>
      </c>
    </row>
    <row r="703" spans="1:5" ht="13" hidden="1" x14ac:dyDescent="0.15">
      <c r="A703" s="3" t="s">
        <v>365</v>
      </c>
      <c r="B703" s="3" t="e">
        <f t="array" aca="1" ref="B703" ca="1">_xludf.XLOOKUP(A703,duobahlul_videos!$A$1:$A$52,duobahlul_videos!$B$1:$B$52)</f>
        <v>#NAME?</v>
      </c>
      <c r="C703" s="3" t="s">
        <v>1666</v>
      </c>
      <c r="D703" s="3">
        <v>42</v>
      </c>
      <c r="E703" s="3" t="s">
        <v>1667</v>
      </c>
    </row>
    <row r="704" spans="1:5" ht="13" hidden="1" x14ac:dyDescent="0.15">
      <c r="A704" s="3" t="s">
        <v>365</v>
      </c>
      <c r="B704" s="3" t="e">
        <f t="array" aca="1" ref="B704" ca="1">_xludf.XLOOKUP(A704,duobahlul_videos!$A$1:$A$52,duobahlul_videos!$B$1:$B$52)</f>
        <v>#NAME?</v>
      </c>
      <c r="C704" s="3" t="s">
        <v>1668</v>
      </c>
      <c r="D704" s="3">
        <v>17</v>
      </c>
      <c r="E704" s="3" t="s">
        <v>1669</v>
      </c>
    </row>
    <row r="705" spans="1:5" ht="13" hidden="1" x14ac:dyDescent="0.15">
      <c r="A705" s="3" t="s">
        <v>365</v>
      </c>
      <c r="B705" s="3" t="e">
        <f t="array" aca="1" ref="B705" ca="1">_xludf.XLOOKUP(A705,duobahlul_videos!$A$1:$A$52,duobahlul_videos!$B$1:$B$52)</f>
        <v>#NAME?</v>
      </c>
      <c r="C705" s="3" t="s">
        <v>1670</v>
      </c>
      <c r="D705" s="3">
        <v>530</v>
      </c>
      <c r="E705" s="3" t="s">
        <v>1671</v>
      </c>
    </row>
    <row r="706" spans="1:5" ht="13" hidden="1" x14ac:dyDescent="0.15">
      <c r="A706" s="3" t="s">
        <v>365</v>
      </c>
      <c r="B706" s="3" t="e">
        <f t="array" aca="1" ref="B706" ca="1">_xludf.XLOOKUP(A706,duobahlul_videos!$A$1:$A$52,duobahlul_videos!$B$1:$B$52)</f>
        <v>#NAME?</v>
      </c>
      <c r="C706" s="3" t="s">
        <v>1672</v>
      </c>
      <c r="D706" s="3">
        <v>14</v>
      </c>
      <c r="E706" s="3" t="s">
        <v>1673</v>
      </c>
    </row>
    <row r="707" spans="1:5" ht="13" hidden="1" x14ac:dyDescent="0.15">
      <c r="A707" s="3" t="s">
        <v>365</v>
      </c>
      <c r="B707" s="3" t="e">
        <f t="array" aca="1" ref="B707" ca="1">_xludf.XLOOKUP(A707,duobahlul_videos!$A$1:$A$52,duobahlul_videos!$B$1:$B$52)</f>
        <v>#NAME?</v>
      </c>
      <c r="C707" s="3" t="s">
        <v>1674</v>
      </c>
      <c r="D707" s="3">
        <v>45</v>
      </c>
      <c r="E707" s="3" t="s">
        <v>1675</v>
      </c>
    </row>
    <row r="708" spans="1:5" ht="13" hidden="1" x14ac:dyDescent="0.15">
      <c r="A708" s="3" t="s">
        <v>365</v>
      </c>
      <c r="B708" s="3" t="e">
        <f t="array" aca="1" ref="B708" ca="1">_xludf.XLOOKUP(A708,duobahlul_videos!$A$1:$A$52,duobahlul_videos!$B$1:$B$52)</f>
        <v>#NAME?</v>
      </c>
      <c r="C708" s="3" t="s">
        <v>1676</v>
      </c>
      <c r="D708" s="3">
        <v>21</v>
      </c>
      <c r="E708" s="3" t="s">
        <v>1677</v>
      </c>
    </row>
    <row r="709" spans="1:5" ht="13" hidden="1" x14ac:dyDescent="0.15">
      <c r="A709" s="3" t="s">
        <v>365</v>
      </c>
      <c r="B709" s="3" t="e">
        <f t="array" aca="1" ref="B709" ca="1">_xludf.XLOOKUP(A709,duobahlul_videos!$A$1:$A$52,duobahlul_videos!$B$1:$B$52)</f>
        <v>#NAME?</v>
      </c>
      <c r="C709" s="3" t="s">
        <v>1678</v>
      </c>
      <c r="D709" s="3">
        <v>43</v>
      </c>
      <c r="E709" s="3" t="s">
        <v>1679</v>
      </c>
    </row>
    <row r="710" spans="1:5" ht="13" hidden="1" x14ac:dyDescent="0.15">
      <c r="A710" s="3" t="s">
        <v>365</v>
      </c>
      <c r="B710" s="3" t="e">
        <f t="array" aca="1" ref="B710" ca="1">_xludf.XLOOKUP(A710,duobahlul_videos!$A$1:$A$52,duobahlul_videos!$B$1:$B$52)</f>
        <v>#NAME?</v>
      </c>
      <c r="C710" s="3" t="s">
        <v>1680</v>
      </c>
      <c r="D710" s="3">
        <v>21</v>
      </c>
      <c r="E710" s="3" t="s">
        <v>1681</v>
      </c>
    </row>
    <row r="711" spans="1:5" ht="13" hidden="1" x14ac:dyDescent="0.15">
      <c r="A711" s="3" t="s">
        <v>365</v>
      </c>
      <c r="B711" s="3" t="e">
        <f t="array" aca="1" ref="B711" ca="1">_xludf.XLOOKUP(A711,duobahlul_videos!$A$1:$A$52,duobahlul_videos!$B$1:$B$52)</f>
        <v>#NAME?</v>
      </c>
      <c r="C711" s="3" t="s">
        <v>1682</v>
      </c>
      <c r="D711" s="3">
        <v>4</v>
      </c>
      <c r="E711" s="3" t="s">
        <v>1683</v>
      </c>
    </row>
    <row r="712" spans="1:5" ht="13" hidden="1" x14ac:dyDescent="0.15">
      <c r="A712" s="3" t="s">
        <v>365</v>
      </c>
      <c r="B712" s="3" t="e">
        <f t="array" aca="1" ref="B712" ca="1">_xludf.XLOOKUP(A712,duobahlul_videos!$A$1:$A$52,duobahlul_videos!$B$1:$B$52)</f>
        <v>#NAME?</v>
      </c>
      <c r="C712" s="3" t="s">
        <v>1684</v>
      </c>
      <c r="D712" s="3">
        <v>9</v>
      </c>
      <c r="E712" s="3" t="s">
        <v>1685</v>
      </c>
    </row>
    <row r="713" spans="1:5" ht="13" hidden="1" x14ac:dyDescent="0.15">
      <c r="A713" s="3" t="s">
        <v>365</v>
      </c>
      <c r="B713" s="3" t="e">
        <f t="array" aca="1" ref="B713" ca="1">_xludf.XLOOKUP(A713,duobahlul_videos!$A$1:$A$52,duobahlul_videos!$B$1:$B$52)</f>
        <v>#NAME?</v>
      </c>
      <c r="C713" s="3" t="s">
        <v>1686</v>
      </c>
      <c r="D713" s="3">
        <v>3</v>
      </c>
      <c r="E713" s="3" t="s">
        <v>1687</v>
      </c>
    </row>
    <row r="714" spans="1:5" ht="13" hidden="1" x14ac:dyDescent="0.15">
      <c r="A714" s="3" t="s">
        <v>365</v>
      </c>
      <c r="B714" s="3" t="e">
        <f t="array" aca="1" ref="B714" ca="1">_xludf.XLOOKUP(A714,duobahlul_videos!$A$1:$A$52,duobahlul_videos!$B$1:$B$52)</f>
        <v>#NAME?</v>
      </c>
      <c r="C714" s="3" t="s">
        <v>1688</v>
      </c>
      <c r="D714" s="3">
        <v>4</v>
      </c>
      <c r="E714" s="3" t="s">
        <v>1689</v>
      </c>
    </row>
    <row r="715" spans="1:5" ht="13" hidden="1" x14ac:dyDescent="0.15">
      <c r="A715" s="3" t="s">
        <v>365</v>
      </c>
      <c r="B715" s="3" t="e">
        <f t="array" aca="1" ref="B715" ca="1">_xludf.XLOOKUP(A715,duobahlul_videos!$A$1:$A$52,duobahlul_videos!$B$1:$B$52)</f>
        <v>#NAME?</v>
      </c>
      <c r="C715" s="3" t="s">
        <v>1690</v>
      </c>
      <c r="D715" s="3">
        <v>9</v>
      </c>
      <c r="E715" s="3" t="s">
        <v>1691</v>
      </c>
    </row>
    <row r="716" spans="1:5" ht="13" hidden="1" x14ac:dyDescent="0.15">
      <c r="A716" s="3" t="s">
        <v>365</v>
      </c>
      <c r="B716" s="3" t="e">
        <f t="array" aca="1" ref="B716" ca="1">_xludf.XLOOKUP(A716,duobahlul_videos!$A$1:$A$52,duobahlul_videos!$B$1:$B$52)</f>
        <v>#NAME?</v>
      </c>
      <c r="C716" s="3" t="s">
        <v>1692</v>
      </c>
      <c r="D716" s="3">
        <v>25</v>
      </c>
      <c r="E716" s="3" t="s">
        <v>1693</v>
      </c>
    </row>
    <row r="717" spans="1:5" ht="13" hidden="1" x14ac:dyDescent="0.15">
      <c r="A717" s="3" t="s">
        <v>365</v>
      </c>
      <c r="B717" s="3" t="e">
        <f t="array" aca="1" ref="B717" ca="1">_xludf.XLOOKUP(A717,duobahlul_videos!$A$1:$A$52,duobahlul_videos!$B$1:$B$52)</f>
        <v>#NAME?</v>
      </c>
      <c r="C717" s="3" t="s">
        <v>1694</v>
      </c>
      <c r="D717" s="3">
        <v>10</v>
      </c>
      <c r="E717" s="3" t="s">
        <v>1695</v>
      </c>
    </row>
    <row r="718" spans="1:5" ht="13" hidden="1" x14ac:dyDescent="0.15">
      <c r="A718" s="3" t="s">
        <v>365</v>
      </c>
      <c r="B718" s="3" t="e">
        <f t="array" aca="1" ref="B718" ca="1">_xludf.XLOOKUP(A718,duobahlul_videos!$A$1:$A$52,duobahlul_videos!$B$1:$B$52)</f>
        <v>#NAME?</v>
      </c>
      <c r="C718" s="3" t="s">
        <v>1696</v>
      </c>
      <c r="D718" s="3">
        <v>27</v>
      </c>
      <c r="E718" s="3" t="s">
        <v>1697</v>
      </c>
    </row>
    <row r="719" spans="1:5" ht="13" hidden="1" x14ac:dyDescent="0.15">
      <c r="A719" s="3" t="s">
        <v>365</v>
      </c>
      <c r="B719" s="3" t="e">
        <f t="array" aca="1" ref="B719" ca="1">_xludf.XLOOKUP(A719,duobahlul_videos!$A$1:$A$52,duobahlul_videos!$B$1:$B$52)</f>
        <v>#NAME?</v>
      </c>
      <c r="C719" s="3" t="s">
        <v>1698</v>
      </c>
      <c r="D719" s="3">
        <v>2</v>
      </c>
      <c r="E719" s="3" t="s">
        <v>1699</v>
      </c>
    </row>
    <row r="720" spans="1:5" ht="13" hidden="1" x14ac:dyDescent="0.15">
      <c r="A720" s="3" t="s">
        <v>365</v>
      </c>
      <c r="B720" s="3" t="e">
        <f t="array" aca="1" ref="B720" ca="1">_xludf.XLOOKUP(A720,duobahlul_videos!$A$1:$A$52,duobahlul_videos!$B$1:$B$52)</f>
        <v>#NAME?</v>
      </c>
      <c r="C720" s="3" t="s">
        <v>1700</v>
      </c>
      <c r="D720" s="3">
        <v>21</v>
      </c>
      <c r="E720" s="3" t="s">
        <v>1701</v>
      </c>
    </row>
    <row r="721" spans="1:5" ht="13" hidden="1" x14ac:dyDescent="0.15">
      <c r="A721" s="3" t="s">
        <v>365</v>
      </c>
      <c r="B721" s="3" t="e">
        <f t="array" aca="1" ref="B721" ca="1">_xludf.XLOOKUP(A721,duobahlul_videos!$A$1:$A$52,duobahlul_videos!$B$1:$B$52)</f>
        <v>#NAME?</v>
      </c>
      <c r="C721" s="3" t="s">
        <v>1702</v>
      </c>
      <c r="D721" s="3">
        <v>8</v>
      </c>
      <c r="E721" s="3" t="s">
        <v>1703</v>
      </c>
    </row>
    <row r="722" spans="1:5" ht="13" hidden="1" x14ac:dyDescent="0.15">
      <c r="A722" s="3" t="s">
        <v>236</v>
      </c>
      <c r="B722" s="3" t="e">
        <f t="array" aca="1" ref="B722" ca="1">_xludf.XLOOKUP(A722,duobahlul_videos!$A$1:$A$52,duobahlul_videos!$B$1:$B$52)</f>
        <v>#NAME?</v>
      </c>
      <c r="C722" s="3" t="s">
        <v>1704</v>
      </c>
      <c r="D722" s="3">
        <v>145</v>
      </c>
      <c r="E722" s="3" t="s">
        <v>1705</v>
      </c>
    </row>
    <row r="723" spans="1:5" ht="13" hidden="1" x14ac:dyDescent="0.15">
      <c r="A723" s="3" t="s">
        <v>236</v>
      </c>
      <c r="B723" s="3" t="e">
        <f t="array" aca="1" ref="B723" ca="1">_xludf.XLOOKUP(A723,duobahlul_videos!$A$1:$A$52,duobahlul_videos!$B$1:$B$52)</f>
        <v>#NAME?</v>
      </c>
      <c r="C723" s="3" t="s">
        <v>1706</v>
      </c>
      <c r="D723" s="3">
        <v>78</v>
      </c>
      <c r="E723" s="3" t="s">
        <v>1707</v>
      </c>
    </row>
    <row r="724" spans="1:5" ht="13" hidden="1" x14ac:dyDescent="0.15">
      <c r="A724" s="3" t="s">
        <v>236</v>
      </c>
      <c r="B724" s="3" t="e">
        <f t="array" aca="1" ref="B724" ca="1">_xludf.XLOOKUP(A724,duobahlul_videos!$A$1:$A$52,duobahlul_videos!$B$1:$B$52)</f>
        <v>#NAME?</v>
      </c>
      <c r="C724" s="3" t="s">
        <v>1708</v>
      </c>
      <c r="D724" s="3">
        <v>64</v>
      </c>
      <c r="E724" s="3" t="s">
        <v>1709</v>
      </c>
    </row>
    <row r="725" spans="1:5" ht="13" hidden="1" x14ac:dyDescent="0.15">
      <c r="A725" s="3" t="s">
        <v>236</v>
      </c>
      <c r="B725" s="3" t="e">
        <f t="array" aca="1" ref="B725" ca="1">_xludf.XLOOKUP(A725,duobahlul_videos!$A$1:$A$52,duobahlul_videos!$B$1:$B$52)</f>
        <v>#NAME?</v>
      </c>
      <c r="C725" s="3" t="s">
        <v>1710</v>
      </c>
      <c r="D725" s="3">
        <v>87</v>
      </c>
      <c r="E725" s="3" t="s">
        <v>1711</v>
      </c>
    </row>
    <row r="726" spans="1:5" ht="13" hidden="1" x14ac:dyDescent="0.15">
      <c r="A726" s="3" t="s">
        <v>236</v>
      </c>
      <c r="B726" s="3" t="e">
        <f t="array" aca="1" ref="B726" ca="1">_xludf.XLOOKUP(A726,duobahlul_videos!$A$1:$A$52,duobahlul_videos!$B$1:$B$52)</f>
        <v>#NAME?</v>
      </c>
      <c r="C726" s="3" t="s">
        <v>1712</v>
      </c>
      <c r="D726" s="3">
        <v>44</v>
      </c>
      <c r="E726" s="3" t="s">
        <v>1713</v>
      </c>
    </row>
    <row r="727" spans="1:5" ht="13" hidden="1" x14ac:dyDescent="0.15">
      <c r="A727" s="3" t="s">
        <v>236</v>
      </c>
      <c r="B727" s="3" t="e">
        <f t="array" aca="1" ref="B727" ca="1">_xludf.XLOOKUP(A727,duobahlul_videos!$A$1:$A$52,duobahlul_videos!$B$1:$B$52)</f>
        <v>#NAME?</v>
      </c>
      <c r="C727" s="3" t="s">
        <v>1714</v>
      </c>
      <c r="D727" s="3">
        <v>69</v>
      </c>
      <c r="E727" s="3" t="s">
        <v>1715</v>
      </c>
    </row>
    <row r="728" spans="1:5" ht="13" hidden="1" x14ac:dyDescent="0.15">
      <c r="A728" s="3" t="s">
        <v>236</v>
      </c>
      <c r="B728" s="3" t="e">
        <f t="array" aca="1" ref="B728" ca="1">_xludf.XLOOKUP(A728,duobahlul_videos!$A$1:$A$52,duobahlul_videos!$B$1:$B$52)</f>
        <v>#NAME?</v>
      </c>
      <c r="C728" s="3" t="s">
        <v>1716</v>
      </c>
      <c r="D728" s="3">
        <v>110</v>
      </c>
      <c r="E728" s="3" t="s">
        <v>1717</v>
      </c>
    </row>
    <row r="729" spans="1:5" ht="13" hidden="1" x14ac:dyDescent="0.15">
      <c r="A729" s="3" t="s">
        <v>236</v>
      </c>
      <c r="B729" s="3" t="e">
        <f t="array" aca="1" ref="B729" ca="1">_xludf.XLOOKUP(A729,duobahlul_videos!$A$1:$A$52,duobahlul_videos!$B$1:$B$52)</f>
        <v>#NAME?</v>
      </c>
      <c r="C729" s="3" t="s">
        <v>1718</v>
      </c>
      <c r="D729" s="3">
        <v>97</v>
      </c>
      <c r="E729" s="3" t="s">
        <v>1719</v>
      </c>
    </row>
    <row r="730" spans="1:5" ht="13" hidden="1" x14ac:dyDescent="0.15">
      <c r="A730" s="3" t="s">
        <v>236</v>
      </c>
      <c r="B730" s="3" t="e">
        <f t="array" aca="1" ref="B730" ca="1">_xludf.XLOOKUP(A730,duobahlul_videos!$A$1:$A$52,duobahlul_videos!$B$1:$B$52)</f>
        <v>#NAME?</v>
      </c>
      <c r="C730" s="3" t="s">
        <v>1720</v>
      </c>
      <c r="D730" s="3">
        <v>56</v>
      </c>
      <c r="E730" s="3" t="s">
        <v>1721</v>
      </c>
    </row>
    <row r="731" spans="1:5" ht="13" hidden="1" x14ac:dyDescent="0.15">
      <c r="A731" s="3" t="s">
        <v>236</v>
      </c>
      <c r="B731" s="3" t="e">
        <f t="array" aca="1" ref="B731" ca="1">_xludf.XLOOKUP(A731,duobahlul_videos!$A$1:$A$52,duobahlul_videos!$B$1:$B$52)</f>
        <v>#NAME?</v>
      </c>
      <c r="C731" s="3" t="s">
        <v>1722</v>
      </c>
      <c r="D731" s="3">
        <v>118</v>
      </c>
      <c r="E731" s="3" t="s">
        <v>1723</v>
      </c>
    </row>
    <row r="732" spans="1:5" ht="13" hidden="1" x14ac:dyDescent="0.15">
      <c r="A732" s="3" t="s">
        <v>236</v>
      </c>
      <c r="B732" s="3" t="e">
        <f t="array" aca="1" ref="B732" ca="1">_xludf.XLOOKUP(A732,duobahlul_videos!$A$1:$A$52,duobahlul_videos!$B$1:$B$52)</f>
        <v>#NAME?</v>
      </c>
      <c r="C732" s="3" t="s">
        <v>1724</v>
      </c>
      <c r="D732" s="3">
        <v>39</v>
      </c>
      <c r="E732" s="3" t="s">
        <v>1725</v>
      </c>
    </row>
    <row r="733" spans="1:5" ht="13" hidden="1" x14ac:dyDescent="0.15">
      <c r="A733" s="3" t="s">
        <v>236</v>
      </c>
      <c r="B733" s="3" t="e">
        <f t="array" aca="1" ref="B733" ca="1">_xludf.XLOOKUP(A733,duobahlul_videos!$A$1:$A$52,duobahlul_videos!$B$1:$B$52)</f>
        <v>#NAME?</v>
      </c>
      <c r="C733" s="3" t="s">
        <v>1726</v>
      </c>
      <c r="D733" s="3">
        <v>32</v>
      </c>
      <c r="E733" s="3" t="s">
        <v>1727</v>
      </c>
    </row>
    <row r="734" spans="1:5" ht="13" hidden="1" x14ac:dyDescent="0.15">
      <c r="A734" s="3" t="s">
        <v>236</v>
      </c>
      <c r="B734" s="3" t="e">
        <f t="array" aca="1" ref="B734" ca="1">_xludf.XLOOKUP(A734,duobahlul_videos!$A$1:$A$52,duobahlul_videos!$B$1:$B$52)</f>
        <v>#NAME?</v>
      </c>
      <c r="C734" s="3" t="s">
        <v>1728</v>
      </c>
      <c r="D734" s="3">
        <v>42</v>
      </c>
      <c r="E734" s="3" t="s">
        <v>1729</v>
      </c>
    </row>
    <row r="735" spans="1:5" ht="13" hidden="1" x14ac:dyDescent="0.15">
      <c r="A735" s="3" t="s">
        <v>236</v>
      </c>
      <c r="B735" s="3" t="e">
        <f t="array" aca="1" ref="B735" ca="1">_xludf.XLOOKUP(A735,duobahlul_videos!$A$1:$A$52,duobahlul_videos!$B$1:$B$52)</f>
        <v>#NAME?</v>
      </c>
      <c r="C735" s="3" t="s">
        <v>1730</v>
      </c>
      <c r="D735" s="3">
        <v>7</v>
      </c>
      <c r="E735" s="3" t="s">
        <v>1731</v>
      </c>
    </row>
    <row r="736" spans="1:5" ht="13" hidden="1" x14ac:dyDescent="0.15">
      <c r="A736" s="3" t="s">
        <v>236</v>
      </c>
      <c r="B736" s="3" t="e">
        <f t="array" aca="1" ref="B736" ca="1">_xludf.XLOOKUP(A736,duobahlul_videos!$A$1:$A$52,duobahlul_videos!$B$1:$B$52)</f>
        <v>#NAME?</v>
      </c>
      <c r="C736" s="3" t="s">
        <v>1732</v>
      </c>
      <c r="D736" s="3">
        <v>52</v>
      </c>
      <c r="E736" s="3" t="s">
        <v>1733</v>
      </c>
    </row>
    <row r="737" spans="1:5" ht="13" hidden="1" x14ac:dyDescent="0.15">
      <c r="A737" s="3" t="s">
        <v>236</v>
      </c>
      <c r="B737" s="3" t="e">
        <f t="array" aca="1" ref="B737" ca="1">_xludf.XLOOKUP(A737,duobahlul_videos!$A$1:$A$52,duobahlul_videos!$B$1:$B$52)</f>
        <v>#NAME?</v>
      </c>
      <c r="C737" s="3" t="s">
        <v>1734</v>
      </c>
      <c r="D737" s="3">
        <v>34</v>
      </c>
      <c r="E737" s="3" t="s">
        <v>1735</v>
      </c>
    </row>
    <row r="738" spans="1:5" ht="13" hidden="1" x14ac:dyDescent="0.15">
      <c r="A738" s="3" t="s">
        <v>236</v>
      </c>
      <c r="B738" s="3" t="e">
        <f t="array" aca="1" ref="B738" ca="1">_xludf.XLOOKUP(A738,duobahlul_videos!$A$1:$A$52,duobahlul_videos!$B$1:$B$52)</f>
        <v>#NAME?</v>
      </c>
      <c r="C738" s="3" t="s">
        <v>1736</v>
      </c>
      <c r="D738" s="3">
        <v>13</v>
      </c>
      <c r="E738" s="3" t="s">
        <v>1737</v>
      </c>
    </row>
    <row r="739" spans="1:5" ht="13" hidden="1" x14ac:dyDescent="0.15">
      <c r="A739" s="3" t="s">
        <v>236</v>
      </c>
      <c r="B739" s="3" t="e">
        <f t="array" aca="1" ref="B739" ca="1">_xludf.XLOOKUP(A739,duobahlul_videos!$A$1:$A$52,duobahlul_videos!$B$1:$B$52)</f>
        <v>#NAME?</v>
      </c>
      <c r="C739" s="3" t="s">
        <v>1738</v>
      </c>
      <c r="D739" s="3">
        <v>5</v>
      </c>
      <c r="E739" s="3" t="s">
        <v>1739</v>
      </c>
    </row>
    <row r="740" spans="1:5" ht="13" hidden="1" x14ac:dyDescent="0.15">
      <c r="A740" s="3" t="s">
        <v>236</v>
      </c>
      <c r="B740" s="3" t="e">
        <f t="array" aca="1" ref="B740" ca="1">_xludf.XLOOKUP(A740,duobahlul_videos!$A$1:$A$52,duobahlul_videos!$B$1:$B$52)</f>
        <v>#NAME?</v>
      </c>
      <c r="C740" s="3" t="s">
        <v>1740</v>
      </c>
      <c r="D740" s="3">
        <v>2</v>
      </c>
      <c r="E740" s="3" t="s">
        <v>1741</v>
      </c>
    </row>
    <row r="741" spans="1:5" ht="13" hidden="1" x14ac:dyDescent="0.15">
      <c r="A741" s="3" t="s">
        <v>236</v>
      </c>
      <c r="B741" s="3" t="e">
        <f t="array" aca="1" ref="B741" ca="1">_xludf.XLOOKUP(A741,duobahlul_videos!$A$1:$A$52,duobahlul_videos!$B$1:$B$52)</f>
        <v>#NAME?</v>
      </c>
      <c r="C741" s="3" t="s">
        <v>1742</v>
      </c>
      <c r="D741" s="3">
        <v>3</v>
      </c>
      <c r="E741" s="3" t="s">
        <v>1743</v>
      </c>
    </row>
    <row r="742" spans="1:5" ht="13" hidden="1" x14ac:dyDescent="0.15">
      <c r="A742" s="3" t="s">
        <v>243</v>
      </c>
      <c r="B742" s="3" t="e">
        <f t="array" aca="1" ref="B742" ca="1">_xludf.XLOOKUP(A742,duobahlul_videos!$A$1:$A$52,duobahlul_videos!$B$1:$B$52)</f>
        <v>#NAME?</v>
      </c>
      <c r="C742" s="3" t="s">
        <v>1744</v>
      </c>
      <c r="D742" s="3">
        <v>244</v>
      </c>
      <c r="E742" s="3" t="s">
        <v>1745</v>
      </c>
    </row>
    <row r="743" spans="1:5" ht="13" hidden="1" x14ac:dyDescent="0.15">
      <c r="A743" s="3" t="s">
        <v>243</v>
      </c>
      <c r="B743" s="3" t="e">
        <f t="array" aca="1" ref="B743" ca="1">_xludf.XLOOKUP(A743,duobahlul_videos!$A$1:$A$52,duobahlul_videos!$B$1:$B$52)</f>
        <v>#NAME?</v>
      </c>
      <c r="C743" s="3" t="s">
        <v>1746</v>
      </c>
      <c r="D743" s="3">
        <v>151</v>
      </c>
      <c r="E743" s="3" t="s">
        <v>1747</v>
      </c>
    </row>
    <row r="744" spans="1:5" ht="13" hidden="1" x14ac:dyDescent="0.15">
      <c r="A744" s="3" t="s">
        <v>243</v>
      </c>
      <c r="B744" s="3" t="e">
        <f t="array" aca="1" ref="B744" ca="1">_xludf.XLOOKUP(A744,duobahlul_videos!$A$1:$A$52,duobahlul_videos!$B$1:$B$52)</f>
        <v>#NAME?</v>
      </c>
      <c r="C744" s="3" t="s">
        <v>1748</v>
      </c>
      <c r="D744" s="3">
        <v>80</v>
      </c>
      <c r="E744" s="3" t="s">
        <v>1749</v>
      </c>
    </row>
    <row r="745" spans="1:5" ht="13" hidden="1" x14ac:dyDescent="0.15">
      <c r="A745" s="3" t="s">
        <v>243</v>
      </c>
      <c r="B745" s="3" t="e">
        <f t="array" aca="1" ref="B745" ca="1">_xludf.XLOOKUP(A745,duobahlul_videos!$A$1:$A$52,duobahlul_videos!$B$1:$B$52)</f>
        <v>#NAME?</v>
      </c>
      <c r="C745" s="3" t="s">
        <v>1750</v>
      </c>
      <c r="D745" s="3">
        <v>168</v>
      </c>
      <c r="E745" s="3" t="s">
        <v>1751</v>
      </c>
    </row>
    <row r="746" spans="1:5" ht="13" hidden="1" x14ac:dyDescent="0.15">
      <c r="A746" s="3" t="s">
        <v>243</v>
      </c>
      <c r="B746" s="3" t="e">
        <f t="array" aca="1" ref="B746" ca="1">_xludf.XLOOKUP(A746,duobahlul_videos!$A$1:$A$52,duobahlul_videos!$B$1:$B$52)</f>
        <v>#NAME?</v>
      </c>
      <c r="C746" s="3" t="s">
        <v>1752</v>
      </c>
      <c r="D746" s="3">
        <v>62</v>
      </c>
      <c r="E746" s="3" t="s">
        <v>1753</v>
      </c>
    </row>
    <row r="747" spans="1:5" ht="13" hidden="1" x14ac:dyDescent="0.15">
      <c r="A747" s="3" t="s">
        <v>243</v>
      </c>
      <c r="B747" s="3" t="e">
        <f t="array" aca="1" ref="B747" ca="1">_xludf.XLOOKUP(A747,duobahlul_videos!$A$1:$A$52,duobahlul_videos!$B$1:$B$52)</f>
        <v>#NAME?</v>
      </c>
      <c r="C747" s="3" t="s">
        <v>1754</v>
      </c>
      <c r="D747" s="3">
        <v>49</v>
      </c>
      <c r="E747" s="3" t="s">
        <v>1755</v>
      </c>
    </row>
    <row r="748" spans="1:5" ht="13" hidden="1" x14ac:dyDescent="0.15">
      <c r="A748" s="3" t="s">
        <v>243</v>
      </c>
      <c r="B748" s="3" t="e">
        <f t="array" aca="1" ref="B748" ca="1">_xludf.XLOOKUP(A748,duobahlul_videos!$A$1:$A$52,duobahlul_videos!$B$1:$B$52)</f>
        <v>#NAME?</v>
      </c>
      <c r="C748" s="3" t="s">
        <v>1756</v>
      </c>
      <c r="D748" s="3">
        <v>16</v>
      </c>
      <c r="E748" s="3" t="s">
        <v>1757</v>
      </c>
    </row>
    <row r="749" spans="1:5" ht="13" hidden="1" x14ac:dyDescent="0.15">
      <c r="A749" s="3" t="s">
        <v>243</v>
      </c>
      <c r="B749" s="3" t="e">
        <f t="array" aca="1" ref="B749" ca="1">_xludf.XLOOKUP(A749,duobahlul_videos!$A$1:$A$52,duobahlul_videos!$B$1:$B$52)</f>
        <v>#NAME?</v>
      </c>
      <c r="C749" s="3" t="s">
        <v>1758</v>
      </c>
      <c r="D749" s="3">
        <v>32</v>
      </c>
      <c r="E749" s="3" t="s">
        <v>1759</v>
      </c>
    </row>
    <row r="750" spans="1:5" ht="13" hidden="1" x14ac:dyDescent="0.15">
      <c r="A750" s="3" t="s">
        <v>243</v>
      </c>
      <c r="B750" s="3" t="e">
        <f t="array" aca="1" ref="B750" ca="1">_xludf.XLOOKUP(A750,duobahlul_videos!$A$1:$A$52,duobahlul_videos!$B$1:$B$52)</f>
        <v>#NAME?</v>
      </c>
      <c r="C750" s="3" t="s">
        <v>1760</v>
      </c>
      <c r="D750" s="3">
        <v>139</v>
      </c>
      <c r="E750" s="3" t="s">
        <v>1761</v>
      </c>
    </row>
    <row r="751" spans="1:5" ht="13" hidden="1" x14ac:dyDescent="0.15">
      <c r="A751" s="3" t="s">
        <v>243</v>
      </c>
      <c r="B751" s="3" t="e">
        <f t="array" aca="1" ref="B751" ca="1">_xludf.XLOOKUP(A751,duobahlul_videos!$A$1:$A$52,duobahlul_videos!$B$1:$B$52)</f>
        <v>#NAME?</v>
      </c>
      <c r="C751" s="3" t="s">
        <v>1762</v>
      </c>
      <c r="D751" s="3">
        <v>31</v>
      </c>
      <c r="E751" s="3" t="s">
        <v>1763</v>
      </c>
    </row>
    <row r="752" spans="1:5" ht="13" hidden="1" x14ac:dyDescent="0.15">
      <c r="A752" s="3" t="s">
        <v>243</v>
      </c>
      <c r="B752" s="3" t="e">
        <f t="array" aca="1" ref="B752" ca="1">_xludf.XLOOKUP(A752,duobahlul_videos!$A$1:$A$52,duobahlul_videos!$B$1:$B$52)</f>
        <v>#NAME?</v>
      </c>
      <c r="C752" s="3" t="s">
        <v>1764</v>
      </c>
      <c r="D752" s="3">
        <v>8</v>
      </c>
      <c r="E752" s="3" t="s">
        <v>1765</v>
      </c>
    </row>
    <row r="753" spans="1:5" ht="13" hidden="1" x14ac:dyDescent="0.15">
      <c r="A753" s="3" t="s">
        <v>243</v>
      </c>
      <c r="B753" s="3" t="e">
        <f t="array" aca="1" ref="B753" ca="1">_xludf.XLOOKUP(A753,duobahlul_videos!$A$1:$A$52,duobahlul_videos!$B$1:$B$52)</f>
        <v>#NAME?</v>
      </c>
      <c r="C753" s="3" t="s">
        <v>1766</v>
      </c>
      <c r="D753" s="3">
        <v>17</v>
      </c>
      <c r="E753" s="3" t="s">
        <v>1767</v>
      </c>
    </row>
    <row r="754" spans="1:5" ht="13" hidden="1" x14ac:dyDescent="0.15">
      <c r="A754" s="3" t="s">
        <v>243</v>
      </c>
      <c r="B754" s="3" t="e">
        <f t="array" aca="1" ref="B754" ca="1">_xludf.XLOOKUP(A754,duobahlul_videos!$A$1:$A$52,duobahlul_videos!$B$1:$B$52)</f>
        <v>#NAME?</v>
      </c>
      <c r="C754" s="3" t="s">
        <v>1768</v>
      </c>
      <c r="D754" s="3">
        <v>12</v>
      </c>
      <c r="E754" s="3" t="s">
        <v>1769</v>
      </c>
    </row>
    <row r="755" spans="1:5" ht="13" hidden="1" x14ac:dyDescent="0.15">
      <c r="A755" s="3" t="s">
        <v>243</v>
      </c>
      <c r="B755" s="3" t="e">
        <f t="array" aca="1" ref="B755" ca="1">_xludf.XLOOKUP(A755,duobahlul_videos!$A$1:$A$52,duobahlul_videos!$B$1:$B$52)</f>
        <v>#NAME?</v>
      </c>
      <c r="C755" s="3" t="s">
        <v>1770</v>
      </c>
      <c r="D755" s="3">
        <v>7</v>
      </c>
      <c r="E755" s="3" t="s">
        <v>1771</v>
      </c>
    </row>
    <row r="756" spans="1:5" ht="13" hidden="1" x14ac:dyDescent="0.15">
      <c r="A756" s="3" t="s">
        <v>243</v>
      </c>
      <c r="B756" s="3" t="e">
        <f t="array" aca="1" ref="B756" ca="1">_xludf.XLOOKUP(A756,duobahlul_videos!$A$1:$A$52,duobahlul_videos!$B$1:$B$52)</f>
        <v>#NAME?</v>
      </c>
      <c r="C756" s="3" t="s">
        <v>1772</v>
      </c>
      <c r="D756" s="3">
        <v>9</v>
      </c>
      <c r="E756" s="3" t="s">
        <v>1773</v>
      </c>
    </row>
    <row r="757" spans="1:5" ht="13" hidden="1" x14ac:dyDescent="0.15">
      <c r="A757" s="3" t="s">
        <v>243</v>
      </c>
      <c r="B757" s="3" t="e">
        <f t="array" aca="1" ref="B757" ca="1">_xludf.XLOOKUP(A757,duobahlul_videos!$A$1:$A$52,duobahlul_videos!$B$1:$B$52)</f>
        <v>#NAME?</v>
      </c>
      <c r="C757" s="3" t="s">
        <v>1774</v>
      </c>
      <c r="D757" s="3">
        <v>8</v>
      </c>
      <c r="E757" s="3" t="s">
        <v>1775</v>
      </c>
    </row>
    <row r="758" spans="1:5" ht="13" hidden="1" x14ac:dyDescent="0.15">
      <c r="A758" s="3" t="s">
        <v>243</v>
      </c>
      <c r="B758" s="3" t="e">
        <f t="array" aca="1" ref="B758" ca="1">_xludf.XLOOKUP(A758,duobahlul_videos!$A$1:$A$52,duobahlul_videos!$B$1:$B$52)</f>
        <v>#NAME?</v>
      </c>
      <c r="C758" s="3" t="s">
        <v>1776</v>
      </c>
      <c r="D758" s="3">
        <v>6</v>
      </c>
      <c r="E758" s="3" t="s">
        <v>1777</v>
      </c>
    </row>
    <row r="759" spans="1:5" ht="13" hidden="1" x14ac:dyDescent="0.15">
      <c r="A759" s="3" t="s">
        <v>243</v>
      </c>
      <c r="B759" s="3" t="e">
        <f t="array" aca="1" ref="B759" ca="1">_xludf.XLOOKUP(A759,duobahlul_videos!$A$1:$A$52,duobahlul_videos!$B$1:$B$52)</f>
        <v>#NAME?</v>
      </c>
      <c r="C759" s="3" t="s">
        <v>1778</v>
      </c>
      <c r="D759" s="3">
        <v>5</v>
      </c>
      <c r="E759" s="3" t="s">
        <v>1779</v>
      </c>
    </row>
    <row r="760" spans="1:5" ht="13" hidden="1" x14ac:dyDescent="0.15">
      <c r="A760" s="3" t="s">
        <v>243</v>
      </c>
      <c r="B760" s="3" t="e">
        <f t="array" aca="1" ref="B760" ca="1">_xludf.XLOOKUP(A760,duobahlul_videos!$A$1:$A$52,duobahlul_videos!$B$1:$B$52)</f>
        <v>#NAME?</v>
      </c>
      <c r="C760" s="3" t="s">
        <v>1780</v>
      </c>
      <c r="D760" s="3">
        <v>5</v>
      </c>
      <c r="E760" s="3" t="s">
        <v>1781</v>
      </c>
    </row>
    <row r="761" spans="1:5" ht="13" hidden="1" x14ac:dyDescent="0.15">
      <c r="A761" s="3" t="s">
        <v>243</v>
      </c>
      <c r="B761" s="3" t="e">
        <f t="array" aca="1" ref="B761" ca="1">_xludf.XLOOKUP(A761,duobahlul_videos!$A$1:$A$52,duobahlul_videos!$B$1:$B$52)</f>
        <v>#NAME?</v>
      </c>
      <c r="C761" s="3" t="s">
        <v>1782</v>
      </c>
      <c r="D761" s="3">
        <v>6</v>
      </c>
      <c r="E761" s="3" t="s">
        <v>1783</v>
      </c>
    </row>
    <row r="762" spans="1:5" ht="13" hidden="1" x14ac:dyDescent="0.15">
      <c r="A762" s="3" t="s">
        <v>284</v>
      </c>
      <c r="B762" s="3" t="e">
        <f t="array" aca="1" ref="B762" ca="1">_xludf.XLOOKUP(A762,duobahlul_videos!$A$1:$A$52,duobahlul_videos!$B$1:$B$52)</f>
        <v>#NAME?</v>
      </c>
      <c r="C762" s="3" t="s">
        <v>1784</v>
      </c>
      <c r="D762" s="3">
        <v>21</v>
      </c>
      <c r="E762" s="3" t="s">
        <v>1785</v>
      </c>
    </row>
    <row r="763" spans="1:5" ht="13" hidden="1" x14ac:dyDescent="0.15">
      <c r="A763" s="3" t="s">
        <v>284</v>
      </c>
      <c r="B763" s="3" t="e">
        <f t="array" aca="1" ref="B763" ca="1">_xludf.XLOOKUP(A763,duobahlul_videos!$A$1:$A$52,duobahlul_videos!$B$1:$B$52)</f>
        <v>#NAME?</v>
      </c>
      <c r="C763" s="3" t="s">
        <v>1786</v>
      </c>
      <c r="D763" s="3">
        <v>17</v>
      </c>
      <c r="E763" s="3" t="s">
        <v>1787</v>
      </c>
    </row>
    <row r="764" spans="1:5" ht="13" hidden="1" x14ac:dyDescent="0.15">
      <c r="A764" s="3" t="s">
        <v>284</v>
      </c>
      <c r="B764" s="3" t="e">
        <f t="array" aca="1" ref="B764" ca="1">_xludf.XLOOKUP(A764,duobahlul_videos!$A$1:$A$52,duobahlul_videos!$B$1:$B$52)</f>
        <v>#NAME?</v>
      </c>
      <c r="C764" s="3" t="s">
        <v>1788</v>
      </c>
      <c r="D764" s="3">
        <v>12</v>
      </c>
      <c r="E764" s="3" t="s">
        <v>1789</v>
      </c>
    </row>
    <row r="765" spans="1:5" ht="13" hidden="1" x14ac:dyDescent="0.15">
      <c r="A765" s="3" t="s">
        <v>284</v>
      </c>
      <c r="B765" s="3" t="e">
        <f t="array" aca="1" ref="B765" ca="1">_xludf.XLOOKUP(A765,duobahlul_videos!$A$1:$A$52,duobahlul_videos!$B$1:$B$52)</f>
        <v>#NAME?</v>
      </c>
      <c r="C765" s="3" t="s">
        <v>1790</v>
      </c>
      <c r="D765" s="3">
        <v>6</v>
      </c>
      <c r="E765" s="3" t="s">
        <v>1791</v>
      </c>
    </row>
    <row r="766" spans="1:5" ht="13" hidden="1" x14ac:dyDescent="0.15">
      <c r="A766" s="3" t="s">
        <v>284</v>
      </c>
      <c r="B766" s="3" t="e">
        <f t="array" aca="1" ref="B766" ca="1">_xludf.XLOOKUP(A766,duobahlul_videos!$A$1:$A$52,duobahlul_videos!$B$1:$B$52)</f>
        <v>#NAME?</v>
      </c>
      <c r="C766" s="3" t="s">
        <v>1792</v>
      </c>
      <c r="D766" s="3">
        <v>1</v>
      </c>
      <c r="E766" s="3" t="s">
        <v>1793</v>
      </c>
    </row>
    <row r="767" spans="1:5" ht="13" hidden="1" x14ac:dyDescent="0.15">
      <c r="A767" s="3" t="s">
        <v>284</v>
      </c>
      <c r="B767" s="3" t="e">
        <f t="array" aca="1" ref="B767" ca="1">_xludf.XLOOKUP(A767,duobahlul_videos!$A$1:$A$52,duobahlul_videos!$B$1:$B$52)</f>
        <v>#NAME?</v>
      </c>
      <c r="C767" s="3" t="s">
        <v>1794</v>
      </c>
      <c r="D767" s="3">
        <v>9</v>
      </c>
      <c r="E767" s="3" t="s">
        <v>1795</v>
      </c>
    </row>
    <row r="768" spans="1:5" ht="13" hidden="1" x14ac:dyDescent="0.15">
      <c r="A768" s="3" t="s">
        <v>284</v>
      </c>
      <c r="B768" s="3" t="e">
        <f t="array" aca="1" ref="B768" ca="1">_xludf.XLOOKUP(A768,duobahlul_videos!$A$1:$A$52,duobahlul_videos!$B$1:$B$52)</f>
        <v>#NAME?</v>
      </c>
      <c r="C768" s="3" t="s">
        <v>1796</v>
      </c>
      <c r="D768" s="3">
        <v>3</v>
      </c>
      <c r="E768" s="3" t="s">
        <v>1797</v>
      </c>
    </row>
    <row r="769" spans="1:5" ht="13" hidden="1" x14ac:dyDescent="0.15">
      <c r="A769" s="3" t="s">
        <v>284</v>
      </c>
      <c r="B769" s="3" t="e">
        <f t="array" aca="1" ref="B769" ca="1">_xludf.XLOOKUP(A769,duobahlul_videos!$A$1:$A$52,duobahlul_videos!$B$1:$B$52)</f>
        <v>#NAME?</v>
      </c>
      <c r="C769" s="3" t="s">
        <v>1798</v>
      </c>
      <c r="D769" s="3">
        <v>6</v>
      </c>
      <c r="E769" s="3" t="s">
        <v>1799</v>
      </c>
    </row>
    <row r="770" spans="1:5" ht="13" hidden="1" x14ac:dyDescent="0.15">
      <c r="A770" s="3" t="s">
        <v>284</v>
      </c>
      <c r="B770" s="3" t="e">
        <f t="array" aca="1" ref="B770" ca="1">_xludf.XLOOKUP(A770,duobahlul_videos!$A$1:$A$52,duobahlul_videos!$B$1:$B$52)</f>
        <v>#NAME?</v>
      </c>
      <c r="C770" s="3" t="s">
        <v>1800</v>
      </c>
      <c r="D770" s="3">
        <v>2</v>
      </c>
      <c r="E770" s="3" t="s">
        <v>1801</v>
      </c>
    </row>
    <row r="771" spans="1:5" ht="13" hidden="1" x14ac:dyDescent="0.15">
      <c r="A771" s="3" t="s">
        <v>284</v>
      </c>
      <c r="B771" s="3" t="e">
        <f t="array" aca="1" ref="B771" ca="1">_xludf.XLOOKUP(A771,duobahlul_videos!$A$1:$A$52,duobahlul_videos!$B$1:$B$52)</f>
        <v>#NAME?</v>
      </c>
      <c r="C771" s="3" t="s">
        <v>1802</v>
      </c>
      <c r="D771" s="3">
        <v>2</v>
      </c>
      <c r="E771" s="3" t="s">
        <v>1803</v>
      </c>
    </row>
    <row r="772" spans="1:5" ht="13" hidden="1" x14ac:dyDescent="0.15">
      <c r="A772" s="3" t="s">
        <v>284</v>
      </c>
      <c r="B772" s="3" t="e">
        <f t="array" aca="1" ref="B772" ca="1">_xludf.XLOOKUP(A772,duobahlul_videos!$A$1:$A$52,duobahlul_videos!$B$1:$B$52)</f>
        <v>#NAME?</v>
      </c>
      <c r="C772" s="3" t="s">
        <v>1804</v>
      </c>
      <c r="D772" s="3">
        <v>1</v>
      </c>
      <c r="E772" s="3" t="s">
        <v>1805</v>
      </c>
    </row>
    <row r="773" spans="1:5" ht="13" hidden="1" x14ac:dyDescent="0.15">
      <c r="A773" s="3" t="s">
        <v>284</v>
      </c>
      <c r="B773" s="3" t="e">
        <f t="array" aca="1" ref="B773" ca="1">_xludf.XLOOKUP(A773,duobahlul_videos!$A$1:$A$52,duobahlul_videos!$B$1:$B$52)</f>
        <v>#NAME?</v>
      </c>
      <c r="C773" s="3" t="s">
        <v>1806</v>
      </c>
      <c r="D773" s="3">
        <v>0</v>
      </c>
      <c r="E773" s="3" t="s">
        <v>1807</v>
      </c>
    </row>
    <row r="774" spans="1:5" ht="13" hidden="1" x14ac:dyDescent="0.15">
      <c r="A774" s="3" t="s">
        <v>284</v>
      </c>
      <c r="B774" s="3" t="e">
        <f t="array" aca="1" ref="B774" ca="1">_xludf.XLOOKUP(A774,duobahlul_videos!$A$1:$A$52,duobahlul_videos!$B$1:$B$52)</f>
        <v>#NAME?</v>
      </c>
      <c r="C774" s="3" t="s">
        <v>1808</v>
      </c>
      <c r="D774" s="3">
        <v>0</v>
      </c>
      <c r="E774" s="3" t="s">
        <v>1809</v>
      </c>
    </row>
    <row r="775" spans="1:5" ht="13" hidden="1" x14ac:dyDescent="0.15">
      <c r="A775" s="3" t="s">
        <v>284</v>
      </c>
      <c r="B775" s="3" t="e">
        <f t="array" aca="1" ref="B775" ca="1">_xludf.XLOOKUP(A775,duobahlul_videos!$A$1:$A$52,duobahlul_videos!$B$1:$B$52)</f>
        <v>#NAME?</v>
      </c>
      <c r="C775" s="3" t="s">
        <v>1810</v>
      </c>
      <c r="D775" s="3">
        <v>5</v>
      </c>
      <c r="E775" s="3" t="s">
        <v>1811</v>
      </c>
    </row>
    <row r="776" spans="1:5" ht="13" hidden="1" x14ac:dyDescent="0.15">
      <c r="A776" s="3" t="s">
        <v>284</v>
      </c>
      <c r="B776" s="3" t="e">
        <f t="array" aca="1" ref="B776" ca="1">_xludf.XLOOKUP(A776,duobahlul_videos!$A$1:$A$52,duobahlul_videos!$B$1:$B$52)</f>
        <v>#NAME?</v>
      </c>
      <c r="C776" s="3" t="s">
        <v>1812</v>
      </c>
      <c r="D776" s="3">
        <v>0</v>
      </c>
      <c r="E776" s="3" t="s">
        <v>1813</v>
      </c>
    </row>
    <row r="777" spans="1:5" ht="13" hidden="1" x14ac:dyDescent="0.15">
      <c r="A777" s="3" t="s">
        <v>284</v>
      </c>
      <c r="B777" s="3" t="e">
        <f t="array" aca="1" ref="B777" ca="1">_xludf.XLOOKUP(A777,duobahlul_videos!$A$1:$A$52,duobahlul_videos!$B$1:$B$52)</f>
        <v>#NAME?</v>
      </c>
      <c r="C777" s="3" t="s">
        <v>1814</v>
      </c>
      <c r="D777" s="3">
        <v>2</v>
      </c>
      <c r="E777" s="3" t="s">
        <v>1815</v>
      </c>
    </row>
    <row r="778" spans="1:5" ht="13" hidden="1" x14ac:dyDescent="0.15">
      <c r="A778" s="3" t="s">
        <v>284</v>
      </c>
      <c r="B778" s="3" t="e">
        <f t="array" aca="1" ref="B778" ca="1">_xludf.XLOOKUP(A778,duobahlul_videos!$A$1:$A$52,duobahlul_videos!$B$1:$B$52)</f>
        <v>#NAME?</v>
      </c>
      <c r="C778" s="3" t="s">
        <v>1816</v>
      </c>
      <c r="D778" s="3">
        <v>0</v>
      </c>
      <c r="E778" s="3" t="s">
        <v>1817</v>
      </c>
    </row>
    <row r="779" spans="1:5" ht="13" hidden="1" x14ac:dyDescent="0.15">
      <c r="A779" s="3" t="s">
        <v>284</v>
      </c>
      <c r="B779" s="3" t="e">
        <f t="array" aca="1" ref="B779" ca="1">_xludf.XLOOKUP(A779,duobahlul_videos!$A$1:$A$52,duobahlul_videos!$B$1:$B$52)</f>
        <v>#NAME?</v>
      </c>
      <c r="C779" s="3" t="s">
        <v>1818</v>
      </c>
      <c r="D779" s="3">
        <v>2</v>
      </c>
      <c r="E779" s="3" t="s">
        <v>1819</v>
      </c>
    </row>
    <row r="780" spans="1:5" ht="13" hidden="1" x14ac:dyDescent="0.15">
      <c r="A780" s="3" t="s">
        <v>284</v>
      </c>
      <c r="B780" s="3" t="e">
        <f t="array" aca="1" ref="B780" ca="1">_xludf.XLOOKUP(A780,duobahlul_videos!$A$1:$A$52,duobahlul_videos!$B$1:$B$52)</f>
        <v>#NAME?</v>
      </c>
      <c r="C780" s="3" t="s">
        <v>1820</v>
      </c>
      <c r="D780" s="3">
        <v>0</v>
      </c>
      <c r="E780" s="3" t="s">
        <v>1821</v>
      </c>
    </row>
    <row r="781" spans="1:5" ht="13" hidden="1" x14ac:dyDescent="0.15">
      <c r="A781" s="3" t="s">
        <v>360</v>
      </c>
      <c r="B781" s="3" t="e">
        <f t="array" aca="1" ref="B781" ca="1">_xludf.XLOOKUP(A781,duobahlul_videos!$A$1:$A$52,duobahlul_videos!$B$1:$B$52)</f>
        <v>#NAME?</v>
      </c>
      <c r="C781" s="3" t="s">
        <v>1822</v>
      </c>
      <c r="D781" s="3">
        <v>29</v>
      </c>
      <c r="E781" s="3" t="s">
        <v>1823</v>
      </c>
    </row>
    <row r="782" spans="1:5" ht="13" hidden="1" x14ac:dyDescent="0.15">
      <c r="A782" s="3" t="s">
        <v>360</v>
      </c>
      <c r="B782" s="3" t="e">
        <f t="array" aca="1" ref="B782" ca="1">_xludf.XLOOKUP(A782,duobahlul_videos!$A$1:$A$52,duobahlul_videos!$B$1:$B$52)</f>
        <v>#NAME?</v>
      </c>
      <c r="C782" s="3" t="s">
        <v>1824</v>
      </c>
      <c r="D782" s="3">
        <v>7</v>
      </c>
      <c r="E782" s="3" t="s">
        <v>1825</v>
      </c>
    </row>
    <row r="783" spans="1:5" ht="13" hidden="1" x14ac:dyDescent="0.15">
      <c r="A783" s="3" t="s">
        <v>360</v>
      </c>
      <c r="B783" s="3" t="e">
        <f t="array" aca="1" ref="B783" ca="1">_xludf.XLOOKUP(A783,duobahlul_videos!$A$1:$A$52,duobahlul_videos!$B$1:$B$52)</f>
        <v>#NAME?</v>
      </c>
      <c r="C783" s="3" t="s">
        <v>1826</v>
      </c>
      <c r="D783" s="3">
        <v>5</v>
      </c>
      <c r="E783" s="3" t="s">
        <v>1827</v>
      </c>
    </row>
    <row r="784" spans="1:5" ht="13" hidden="1" x14ac:dyDescent="0.15">
      <c r="A784" s="3" t="s">
        <v>360</v>
      </c>
      <c r="B784" s="3" t="e">
        <f t="array" aca="1" ref="B784" ca="1">_xludf.XLOOKUP(A784,duobahlul_videos!$A$1:$A$52,duobahlul_videos!$B$1:$B$52)</f>
        <v>#NAME?</v>
      </c>
      <c r="C784" s="3" t="s">
        <v>1828</v>
      </c>
      <c r="D784" s="3">
        <v>8</v>
      </c>
      <c r="E784" s="3" t="s">
        <v>1829</v>
      </c>
    </row>
    <row r="785" spans="1:5" ht="13" hidden="1" x14ac:dyDescent="0.15">
      <c r="A785" s="3" t="s">
        <v>360</v>
      </c>
      <c r="B785" s="3" t="e">
        <f t="array" aca="1" ref="B785" ca="1">_xludf.XLOOKUP(A785,duobahlul_videos!$A$1:$A$52,duobahlul_videos!$B$1:$B$52)</f>
        <v>#NAME?</v>
      </c>
      <c r="C785" s="3" t="s">
        <v>1830</v>
      </c>
      <c r="D785" s="3">
        <v>4</v>
      </c>
      <c r="E785" s="3" t="s">
        <v>1831</v>
      </c>
    </row>
    <row r="786" spans="1:5" ht="13" hidden="1" x14ac:dyDescent="0.15">
      <c r="A786" s="3" t="s">
        <v>360</v>
      </c>
      <c r="B786" s="3" t="e">
        <f t="array" aca="1" ref="B786" ca="1">_xludf.XLOOKUP(A786,duobahlul_videos!$A$1:$A$52,duobahlul_videos!$B$1:$B$52)</f>
        <v>#NAME?</v>
      </c>
      <c r="C786" s="3" t="s">
        <v>1832</v>
      </c>
      <c r="D786" s="3">
        <v>4</v>
      </c>
      <c r="E786" s="3" t="s">
        <v>1833</v>
      </c>
    </row>
    <row r="787" spans="1:5" ht="13" hidden="1" x14ac:dyDescent="0.15">
      <c r="A787" s="3" t="s">
        <v>360</v>
      </c>
      <c r="B787" s="3" t="e">
        <f t="array" aca="1" ref="B787" ca="1">_xludf.XLOOKUP(A787,duobahlul_videos!$A$1:$A$52,duobahlul_videos!$B$1:$B$52)</f>
        <v>#NAME?</v>
      </c>
      <c r="C787" s="3" t="s">
        <v>1834</v>
      </c>
      <c r="D787" s="3">
        <v>8</v>
      </c>
      <c r="E787" s="3" t="s">
        <v>1835</v>
      </c>
    </row>
    <row r="788" spans="1:5" ht="13" hidden="1" x14ac:dyDescent="0.15">
      <c r="A788" s="3" t="s">
        <v>360</v>
      </c>
      <c r="B788" s="3" t="e">
        <f t="array" aca="1" ref="B788" ca="1">_xludf.XLOOKUP(A788,duobahlul_videos!$A$1:$A$52,duobahlul_videos!$B$1:$B$52)</f>
        <v>#NAME?</v>
      </c>
      <c r="C788" s="3" t="s">
        <v>1836</v>
      </c>
      <c r="D788" s="3">
        <v>0</v>
      </c>
      <c r="E788" s="3" t="s">
        <v>1837</v>
      </c>
    </row>
    <row r="789" spans="1:5" ht="13" hidden="1" x14ac:dyDescent="0.15">
      <c r="A789" s="3" t="s">
        <v>360</v>
      </c>
      <c r="B789" s="3" t="e">
        <f t="array" aca="1" ref="B789" ca="1">_xludf.XLOOKUP(A789,duobahlul_videos!$A$1:$A$52,duobahlul_videos!$B$1:$B$52)</f>
        <v>#NAME?</v>
      </c>
      <c r="C789" s="3" t="s">
        <v>1838</v>
      </c>
      <c r="D789" s="3">
        <v>1</v>
      </c>
      <c r="E789" s="3" t="s">
        <v>1839</v>
      </c>
    </row>
    <row r="790" spans="1:5" ht="13" hidden="1" x14ac:dyDescent="0.15">
      <c r="A790" s="3" t="s">
        <v>360</v>
      </c>
      <c r="B790" s="3" t="e">
        <f t="array" aca="1" ref="B790" ca="1">_xludf.XLOOKUP(A790,duobahlul_videos!$A$1:$A$52,duobahlul_videos!$B$1:$B$52)</f>
        <v>#NAME?</v>
      </c>
      <c r="C790" s="3" t="s">
        <v>1840</v>
      </c>
      <c r="D790" s="3">
        <v>3</v>
      </c>
      <c r="E790" s="3" t="s">
        <v>1841</v>
      </c>
    </row>
    <row r="791" spans="1:5" ht="13" hidden="1" x14ac:dyDescent="0.15">
      <c r="A791" s="3" t="s">
        <v>360</v>
      </c>
      <c r="B791" s="3" t="e">
        <f t="array" aca="1" ref="B791" ca="1">_xludf.XLOOKUP(A791,duobahlul_videos!$A$1:$A$52,duobahlul_videos!$B$1:$B$52)</f>
        <v>#NAME?</v>
      </c>
      <c r="C791" s="3" t="s">
        <v>1842</v>
      </c>
      <c r="D791" s="3">
        <v>2</v>
      </c>
      <c r="E791" s="3" t="s">
        <v>1843</v>
      </c>
    </row>
    <row r="792" spans="1:5" ht="13" hidden="1" x14ac:dyDescent="0.15">
      <c r="A792" s="3" t="s">
        <v>360</v>
      </c>
      <c r="B792" s="3" t="e">
        <f t="array" aca="1" ref="B792" ca="1">_xludf.XLOOKUP(A792,duobahlul_videos!$A$1:$A$52,duobahlul_videos!$B$1:$B$52)</f>
        <v>#NAME?</v>
      </c>
      <c r="C792" s="3" t="s">
        <v>1844</v>
      </c>
      <c r="D792" s="3">
        <v>1</v>
      </c>
      <c r="E792" s="3" t="s">
        <v>1845</v>
      </c>
    </row>
    <row r="793" spans="1:5" ht="13" hidden="1" x14ac:dyDescent="0.15">
      <c r="A793" s="3" t="s">
        <v>360</v>
      </c>
      <c r="B793" s="3" t="e">
        <f t="array" aca="1" ref="B793" ca="1">_xludf.XLOOKUP(A793,duobahlul_videos!$A$1:$A$52,duobahlul_videos!$B$1:$B$52)</f>
        <v>#NAME?</v>
      </c>
      <c r="C793" s="3" t="s">
        <v>1846</v>
      </c>
      <c r="D793" s="3">
        <v>2</v>
      </c>
      <c r="E793" s="3" t="s">
        <v>1847</v>
      </c>
    </row>
    <row r="794" spans="1:5" ht="13" hidden="1" x14ac:dyDescent="0.15">
      <c r="A794" s="3" t="s">
        <v>360</v>
      </c>
      <c r="B794" s="3" t="e">
        <f t="array" aca="1" ref="B794" ca="1">_xludf.XLOOKUP(A794,duobahlul_videos!$A$1:$A$52,duobahlul_videos!$B$1:$B$52)</f>
        <v>#NAME?</v>
      </c>
      <c r="C794" s="3" t="s">
        <v>1848</v>
      </c>
      <c r="D794" s="3">
        <v>1</v>
      </c>
      <c r="E794" s="3" t="s">
        <v>1849</v>
      </c>
    </row>
    <row r="795" spans="1:5" ht="13" hidden="1" x14ac:dyDescent="0.15">
      <c r="A795" s="3" t="s">
        <v>360</v>
      </c>
      <c r="B795" s="3" t="e">
        <f t="array" aca="1" ref="B795" ca="1">_xludf.XLOOKUP(A795,duobahlul_videos!$A$1:$A$52,duobahlul_videos!$B$1:$B$52)</f>
        <v>#NAME?</v>
      </c>
      <c r="C795" s="3" t="s">
        <v>1850</v>
      </c>
      <c r="D795" s="3">
        <v>0</v>
      </c>
      <c r="E795" s="3" t="s">
        <v>1851</v>
      </c>
    </row>
    <row r="796" spans="1:5" ht="13" hidden="1" x14ac:dyDescent="0.15">
      <c r="A796" s="3" t="s">
        <v>360</v>
      </c>
      <c r="B796" s="3" t="e">
        <f t="array" aca="1" ref="B796" ca="1">_xludf.XLOOKUP(A796,duobahlul_videos!$A$1:$A$52,duobahlul_videos!$B$1:$B$52)</f>
        <v>#NAME?</v>
      </c>
      <c r="C796" s="3" t="s">
        <v>1852</v>
      </c>
      <c r="D796" s="3">
        <v>1</v>
      </c>
      <c r="E796" s="3" t="s">
        <v>1853</v>
      </c>
    </row>
    <row r="797" spans="1:5" ht="13" hidden="1" x14ac:dyDescent="0.15">
      <c r="A797" s="3" t="s">
        <v>360</v>
      </c>
      <c r="B797" s="3" t="e">
        <f t="array" aca="1" ref="B797" ca="1">_xludf.XLOOKUP(A797,duobahlul_videos!$A$1:$A$52,duobahlul_videos!$B$1:$B$52)</f>
        <v>#NAME?</v>
      </c>
      <c r="C797" s="3" t="s">
        <v>1854</v>
      </c>
      <c r="D797" s="3">
        <v>2</v>
      </c>
      <c r="E797" s="3" t="s">
        <v>1855</v>
      </c>
    </row>
    <row r="798" spans="1:5" ht="13" hidden="1" x14ac:dyDescent="0.15">
      <c r="A798" s="3" t="s">
        <v>360</v>
      </c>
      <c r="B798" s="3" t="e">
        <f t="array" aca="1" ref="B798" ca="1">_xludf.XLOOKUP(A798,duobahlul_videos!$A$1:$A$52,duobahlul_videos!$B$1:$B$52)</f>
        <v>#NAME?</v>
      </c>
      <c r="C798" s="3" t="s">
        <v>1856</v>
      </c>
      <c r="D798" s="3">
        <v>2</v>
      </c>
      <c r="E798" s="3" t="s">
        <v>1857</v>
      </c>
    </row>
    <row r="799" spans="1:5" ht="13" hidden="1" x14ac:dyDescent="0.15">
      <c r="A799" s="3" t="s">
        <v>360</v>
      </c>
      <c r="B799" s="3" t="e">
        <f t="array" aca="1" ref="B799" ca="1">_xludf.XLOOKUP(A799,duobahlul_videos!$A$1:$A$52,duobahlul_videos!$B$1:$B$52)</f>
        <v>#NAME?</v>
      </c>
      <c r="C799" s="3" t="s">
        <v>1858</v>
      </c>
      <c r="D799" s="3">
        <v>0</v>
      </c>
      <c r="E799" s="3" t="s">
        <v>1859</v>
      </c>
    </row>
    <row r="800" spans="1:5" ht="13" hidden="1" x14ac:dyDescent="0.15">
      <c r="A800" s="3" t="s">
        <v>360</v>
      </c>
      <c r="B800" s="3" t="e">
        <f t="array" aca="1" ref="B800" ca="1">_xludf.XLOOKUP(A800,duobahlul_videos!$A$1:$A$52,duobahlul_videos!$B$1:$B$52)</f>
        <v>#NAME?</v>
      </c>
      <c r="C800" s="3" t="s">
        <v>1860</v>
      </c>
      <c r="D800" s="3">
        <v>1</v>
      </c>
      <c r="E800" s="3" t="s">
        <v>1861</v>
      </c>
    </row>
    <row r="801" spans="1:5" ht="13" hidden="1" x14ac:dyDescent="0.15">
      <c r="A801" s="3" t="s">
        <v>12</v>
      </c>
      <c r="B801" s="3" t="e">
        <f t="array" aca="1" ref="B801" ca="1">_xludf.XLOOKUP(A801,duobahlul_videos!$A$1:$A$52,duobahlul_videos!$B$1:$B$52)</f>
        <v>#NAME?</v>
      </c>
      <c r="C801" s="3" t="s">
        <v>1862</v>
      </c>
      <c r="D801" s="3">
        <v>4292</v>
      </c>
      <c r="E801" s="3" t="s">
        <v>1863</v>
      </c>
    </row>
    <row r="802" spans="1:5" ht="13" hidden="1" x14ac:dyDescent="0.15">
      <c r="A802" s="3" t="s">
        <v>12</v>
      </c>
      <c r="B802" s="3" t="e">
        <f t="array" aca="1" ref="B802" ca="1">_xludf.XLOOKUP(A802,duobahlul_videos!$A$1:$A$52,duobahlul_videos!$B$1:$B$52)</f>
        <v>#NAME?</v>
      </c>
      <c r="C802" s="3" t="s">
        <v>1864</v>
      </c>
      <c r="D802" s="3">
        <v>862</v>
      </c>
      <c r="E802" s="3" t="s">
        <v>1865</v>
      </c>
    </row>
    <row r="803" spans="1:5" ht="13" hidden="1" x14ac:dyDescent="0.15">
      <c r="A803" s="3" t="s">
        <v>12</v>
      </c>
      <c r="B803" s="3" t="e">
        <f t="array" aca="1" ref="B803" ca="1">_xludf.XLOOKUP(A803,duobahlul_videos!$A$1:$A$52,duobahlul_videos!$B$1:$B$52)</f>
        <v>#NAME?</v>
      </c>
      <c r="C803" s="3" t="s">
        <v>1866</v>
      </c>
      <c r="D803" s="3">
        <v>992</v>
      </c>
      <c r="E803" s="3" t="s">
        <v>1867</v>
      </c>
    </row>
    <row r="804" spans="1:5" ht="13" hidden="1" x14ac:dyDescent="0.15">
      <c r="A804" s="3" t="s">
        <v>12</v>
      </c>
      <c r="B804" s="3" t="e">
        <f t="array" aca="1" ref="B804" ca="1">_xludf.XLOOKUP(A804,duobahlul_videos!$A$1:$A$52,duobahlul_videos!$B$1:$B$52)</f>
        <v>#NAME?</v>
      </c>
      <c r="C804" s="3" t="s">
        <v>1868</v>
      </c>
      <c r="D804" s="3">
        <v>704</v>
      </c>
      <c r="E804" s="3" t="s">
        <v>1869</v>
      </c>
    </row>
    <row r="805" spans="1:5" ht="13" hidden="1" x14ac:dyDescent="0.15">
      <c r="A805" s="3" t="s">
        <v>12</v>
      </c>
      <c r="B805" s="3" t="e">
        <f t="array" aca="1" ref="B805" ca="1">_xludf.XLOOKUP(A805,duobahlul_videos!$A$1:$A$52,duobahlul_videos!$B$1:$B$52)</f>
        <v>#NAME?</v>
      </c>
      <c r="C805" s="3" t="s">
        <v>1870</v>
      </c>
      <c r="D805" s="3">
        <v>813</v>
      </c>
      <c r="E805" s="3" t="s">
        <v>1871</v>
      </c>
    </row>
    <row r="806" spans="1:5" ht="13" hidden="1" x14ac:dyDescent="0.15">
      <c r="A806" s="3" t="s">
        <v>12</v>
      </c>
      <c r="B806" s="3" t="e">
        <f t="array" aca="1" ref="B806" ca="1">_xludf.XLOOKUP(A806,duobahlul_videos!$A$1:$A$52,duobahlul_videos!$B$1:$B$52)</f>
        <v>#NAME?</v>
      </c>
      <c r="C806" s="3" t="s">
        <v>1872</v>
      </c>
      <c r="D806" s="3">
        <v>3067</v>
      </c>
      <c r="E806" s="3" t="s">
        <v>1873</v>
      </c>
    </row>
    <row r="807" spans="1:5" ht="13" hidden="1" x14ac:dyDescent="0.15">
      <c r="A807" s="3" t="s">
        <v>12</v>
      </c>
      <c r="B807" s="3" t="e">
        <f t="array" aca="1" ref="B807" ca="1">_xludf.XLOOKUP(A807,duobahlul_videos!$A$1:$A$52,duobahlul_videos!$B$1:$B$52)</f>
        <v>#NAME?</v>
      </c>
      <c r="C807" s="3" t="s">
        <v>1874</v>
      </c>
      <c r="D807" s="3">
        <v>687</v>
      </c>
      <c r="E807" s="3" t="s">
        <v>1875</v>
      </c>
    </row>
    <row r="808" spans="1:5" ht="13" hidden="1" x14ac:dyDescent="0.15">
      <c r="A808" s="3" t="s">
        <v>12</v>
      </c>
      <c r="B808" s="3" t="e">
        <f t="array" aca="1" ref="B808" ca="1">_xludf.XLOOKUP(A808,duobahlul_videos!$A$1:$A$52,duobahlul_videos!$B$1:$B$52)</f>
        <v>#NAME?</v>
      </c>
      <c r="C808" s="3" t="s">
        <v>1876</v>
      </c>
      <c r="D808" s="3">
        <v>1241</v>
      </c>
      <c r="E808" s="3" t="s">
        <v>1877</v>
      </c>
    </row>
    <row r="809" spans="1:5" ht="13" hidden="1" x14ac:dyDescent="0.15">
      <c r="A809" s="3" t="s">
        <v>12</v>
      </c>
      <c r="B809" s="3" t="e">
        <f t="array" aca="1" ref="B809" ca="1">_xludf.XLOOKUP(A809,duobahlul_videos!$A$1:$A$52,duobahlul_videos!$B$1:$B$52)</f>
        <v>#NAME?</v>
      </c>
      <c r="C809" s="3" t="s">
        <v>1878</v>
      </c>
      <c r="D809" s="3">
        <v>297</v>
      </c>
      <c r="E809" s="3" t="s">
        <v>1879</v>
      </c>
    </row>
    <row r="810" spans="1:5" ht="13" hidden="1" x14ac:dyDescent="0.15">
      <c r="A810" s="3" t="s">
        <v>12</v>
      </c>
      <c r="B810" s="3" t="e">
        <f t="array" aca="1" ref="B810" ca="1">_xludf.XLOOKUP(A810,duobahlul_videos!$A$1:$A$52,duobahlul_videos!$B$1:$B$52)</f>
        <v>#NAME?</v>
      </c>
      <c r="C810" s="3" t="s">
        <v>1880</v>
      </c>
      <c r="D810" s="3">
        <v>166</v>
      </c>
      <c r="E810" s="3" t="s">
        <v>1881</v>
      </c>
    </row>
    <row r="811" spans="1:5" ht="13" hidden="1" x14ac:dyDescent="0.15">
      <c r="A811" s="3" t="s">
        <v>12</v>
      </c>
      <c r="B811" s="3" t="e">
        <f t="array" aca="1" ref="B811" ca="1">_xludf.XLOOKUP(A811,duobahlul_videos!$A$1:$A$52,duobahlul_videos!$B$1:$B$52)</f>
        <v>#NAME?</v>
      </c>
      <c r="C811" s="3" t="s">
        <v>1882</v>
      </c>
      <c r="D811" s="3">
        <v>845</v>
      </c>
      <c r="E811" s="3" t="s">
        <v>1883</v>
      </c>
    </row>
    <row r="812" spans="1:5" ht="13" hidden="1" x14ac:dyDescent="0.15">
      <c r="A812" s="3" t="s">
        <v>12</v>
      </c>
      <c r="B812" s="3" t="e">
        <f t="array" aca="1" ref="B812" ca="1">_xludf.XLOOKUP(A812,duobahlul_videos!$A$1:$A$52,duobahlul_videos!$B$1:$B$52)</f>
        <v>#NAME?</v>
      </c>
      <c r="C812" s="3" t="s">
        <v>1884</v>
      </c>
      <c r="D812" s="3">
        <v>3085</v>
      </c>
      <c r="E812" s="3" t="s">
        <v>1885</v>
      </c>
    </row>
    <row r="813" spans="1:5" ht="13" hidden="1" x14ac:dyDescent="0.15">
      <c r="A813" s="3" t="s">
        <v>12</v>
      </c>
      <c r="B813" s="3" t="e">
        <f t="array" aca="1" ref="B813" ca="1">_xludf.XLOOKUP(A813,duobahlul_videos!$A$1:$A$52,duobahlul_videos!$B$1:$B$52)</f>
        <v>#NAME?</v>
      </c>
      <c r="C813" s="3" t="s">
        <v>1886</v>
      </c>
      <c r="D813" s="3">
        <v>488</v>
      </c>
      <c r="E813" s="3" t="s">
        <v>1887</v>
      </c>
    </row>
    <row r="814" spans="1:5" ht="13" hidden="1" x14ac:dyDescent="0.15">
      <c r="A814" s="3" t="s">
        <v>12</v>
      </c>
      <c r="B814" s="3" t="e">
        <f t="array" aca="1" ref="B814" ca="1">_xludf.XLOOKUP(A814,duobahlul_videos!$A$1:$A$52,duobahlul_videos!$B$1:$B$52)</f>
        <v>#NAME?</v>
      </c>
      <c r="C814" s="3" t="s">
        <v>1888</v>
      </c>
      <c r="D814" s="3">
        <v>38</v>
      </c>
      <c r="E814" s="3" t="s">
        <v>1889</v>
      </c>
    </row>
    <row r="815" spans="1:5" ht="13" hidden="1" x14ac:dyDescent="0.15">
      <c r="A815" s="3" t="s">
        <v>12</v>
      </c>
      <c r="B815" s="3" t="e">
        <f t="array" aca="1" ref="B815" ca="1">_xludf.XLOOKUP(A815,duobahlul_videos!$A$1:$A$52,duobahlul_videos!$B$1:$B$52)</f>
        <v>#NAME?</v>
      </c>
      <c r="C815" s="3" t="s">
        <v>1890</v>
      </c>
      <c r="D815" s="3">
        <v>59</v>
      </c>
      <c r="E815" s="3" t="s">
        <v>1891</v>
      </c>
    </row>
    <row r="816" spans="1:5" ht="13" hidden="1" x14ac:dyDescent="0.15">
      <c r="A816" s="3" t="s">
        <v>12</v>
      </c>
      <c r="B816" s="3" t="e">
        <f t="array" aca="1" ref="B816" ca="1">_xludf.XLOOKUP(A816,duobahlul_videos!$A$1:$A$52,duobahlul_videos!$B$1:$B$52)</f>
        <v>#NAME?</v>
      </c>
      <c r="C816" s="3" t="s">
        <v>1892</v>
      </c>
      <c r="D816" s="3">
        <v>675</v>
      </c>
      <c r="E816" s="3" t="s">
        <v>1893</v>
      </c>
    </row>
    <row r="817" spans="1:5" ht="13" hidden="1" x14ac:dyDescent="0.15">
      <c r="A817" s="3" t="s">
        <v>12</v>
      </c>
      <c r="B817" s="3" t="e">
        <f t="array" aca="1" ref="B817" ca="1">_xludf.XLOOKUP(A817,duobahlul_videos!$A$1:$A$52,duobahlul_videos!$B$1:$B$52)</f>
        <v>#NAME?</v>
      </c>
      <c r="C817" s="3" t="s">
        <v>1894</v>
      </c>
      <c r="D817" s="3">
        <v>639</v>
      </c>
      <c r="E817" s="3" t="s">
        <v>1895</v>
      </c>
    </row>
    <row r="818" spans="1:5" ht="13" hidden="1" x14ac:dyDescent="0.15">
      <c r="A818" s="3" t="s">
        <v>12</v>
      </c>
      <c r="B818" s="3" t="e">
        <f t="array" aca="1" ref="B818" ca="1">_xludf.XLOOKUP(A818,duobahlul_videos!$A$1:$A$52,duobahlul_videos!$B$1:$B$52)</f>
        <v>#NAME?</v>
      </c>
      <c r="C818" s="3" t="s">
        <v>1896</v>
      </c>
      <c r="D818" s="3">
        <v>122</v>
      </c>
      <c r="E818" s="3" t="s">
        <v>1897</v>
      </c>
    </row>
    <row r="819" spans="1:5" ht="13" hidden="1" x14ac:dyDescent="0.15">
      <c r="A819" s="3" t="s">
        <v>12</v>
      </c>
      <c r="B819" s="3" t="e">
        <f t="array" aca="1" ref="B819" ca="1">_xludf.XLOOKUP(A819,duobahlul_videos!$A$1:$A$52,duobahlul_videos!$B$1:$B$52)</f>
        <v>#NAME?</v>
      </c>
      <c r="C819" s="3" t="s">
        <v>1898</v>
      </c>
      <c r="D819" s="3">
        <v>41</v>
      </c>
      <c r="E819" s="3" t="s">
        <v>1899</v>
      </c>
    </row>
    <row r="820" spans="1:5" ht="13" hidden="1" x14ac:dyDescent="0.15">
      <c r="A820" s="3" t="s">
        <v>12</v>
      </c>
      <c r="B820" s="3" t="e">
        <f t="array" aca="1" ref="B820" ca="1">_xludf.XLOOKUP(A820,duobahlul_videos!$A$1:$A$52,duobahlul_videos!$B$1:$B$52)</f>
        <v>#NAME?</v>
      </c>
      <c r="C820" s="3" t="s">
        <v>1900</v>
      </c>
      <c r="D820" s="3">
        <v>37</v>
      </c>
      <c r="E820" s="3" t="s">
        <v>1901</v>
      </c>
    </row>
    <row r="821" spans="1:5" ht="13" hidden="1" x14ac:dyDescent="0.15">
      <c r="A821" s="3" t="s">
        <v>297</v>
      </c>
      <c r="B821" s="3" t="e">
        <f t="array" aca="1" ref="B821" ca="1">_xludf.XLOOKUP(A821,duobahlul_videos!$A$1:$A$52,duobahlul_videos!$B$1:$B$52)</f>
        <v>#NAME?</v>
      </c>
      <c r="C821" s="3" t="s">
        <v>1902</v>
      </c>
      <c r="D821" s="3">
        <v>25</v>
      </c>
      <c r="E821" s="3" t="s">
        <v>1903</v>
      </c>
    </row>
    <row r="822" spans="1:5" ht="13" hidden="1" x14ac:dyDescent="0.15">
      <c r="A822" s="3" t="s">
        <v>297</v>
      </c>
      <c r="B822" s="3" t="e">
        <f t="array" aca="1" ref="B822" ca="1">_xludf.XLOOKUP(A822,duobahlul_videos!$A$1:$A$52,duobahlul_videos!$B$1:$B$52)</f>
        <v>#NAME?</v>
      </c>
      <c r="C822" s="3" t="s">
        <v>1904</v>
      </c>
      <c r="D822" s="3">
        <v>46</v>
      </c>
      <c r="E822" s="3" t="s">
        <v>1905</v>
      </c>
    </row>
    <row r="823" spans="1:5" ht="13" hidden="1" x14ac:dyDescent="0.15">
      <c r="A823" s="3" t="s">
        <v>297</v>
      </c>
      <c r="B823" s="3" t="e">
        <f t="array" aca="1" ref="B823" ca="1">_xludf.XLOOKUP(A823,duobahlul_videos!$A$1:$A$52,duobahlul_videos!$B$1:$B$52)</f>
        <v>#NAME?</v>
      </c>
      <c r="C823" s="3" t="s">
        <v>1906</v>
      </c>
      <c r="D823" s="3">
        <v>28</v>
      </c>
      <c r="E823" s="3" t="s">
        <v>1907</v>
      </c>
    </row>
    <row r="824" spans="1:5" ht="13" hidden="1" x14ac:dyDescent="0.15">
      <c r="A824" s="3" t="s">
        <v>297</v>
      </c>
      <c r="B824" s="3" t="e">
        <f t="array" aca="1" ref="B824" ca="1">_xludf.XLOOKUP(A824,duobahlul_videos!$A$1:$A$52,duobahlul_videos!$B$1:$B$52)</f>
        <v>#NAME?</v>
      </c>
      <c r="C824" s="3" t="s">
        <v>1908</v>
      </c>
      <c r="D824" s="3">
        <v>30</v>
      </c>
      <c r="E824" s="3" t="s">
        <v>1909</v>
      </c>
    </row>
    <row r="825" spans="1:5" ht="13" hidden="1" x14ac:dyDescent="0.15">
      <c r="A825" s="3" t="s">
        <v>297</v>
      </c>
      <c r="B825" s="3" t="e">
        <f t="array" aca="1" ref="B825" ca="1">_xludf.XLOOKUP(A825,duobahlul_videos!$A$1:$A$52,duobahlul_videos!$B$1:$B$52)</f>
        <v>#NAME?</v>
      </c>
      <c r="C825" s="3" t="s">
        <v>1910</v>
      </c>
      <c r="D825" s="3">
        <v>12</v>
      </c>
      <c r="E825" s="3" t="s">
        <v>1911</v>
      </c>
    </row>
    <row r="826" spans="1:5" ht="13" hidden="1" x14ac:dyDescent="0.15">
      <c r="A826" s="3" t="s">
        <v>297</v>
      </c>
      <c r="B826" s="3" t="e">
        <f t="array" aca="1" ref="B826" ca="1">_xludf.XLOOKUP(A826,duobahlul_videos!$A$1:$A$52,duobahlul_videos!$B$1:$B$52)</f>
        <v>#NAME?</v>
      </c>
      <c r="C826" s="3" t="s">
        <v>1912</v>
      </c>
      <c r="D826" s="3">
        <v>7</v>
      </c>
      <c r="E826" s="3" t="s">
        <v>1913</v>
      </c>
    </row>
    <row r="827" spans="1:5" ht="13" hidden="1" x14ac:dyDescent="0.15">
      <c r="A827" s="3" t="s">
        <v>297</v>
      </c>
      <c r="B827" s="3" t="e">
        <f t="array" aca="1" ref="B827" ca="1">_xludf.XLOOKUP(A827,duobahlul_videos!$A$1:$A$52,duobahlul_videos!$B$1:$B$52)</f>
        <v>#NAME?</v>
      </c>
      <c r="C827" s="3" t="s">
        <v>1914</v>
      </c>
      <c r="D827" s="3">
        <v>51</v>
      </c>
      <c r="E827" s="3" t="s">
        <v>1915</v>
      </c>
    </row>
    <row r="828" spans="1:5" ht="13" hidden="1" x14ac:dyDescent="0.15">
      <c r="A828" s="3" t="s">
        <v>297</v>
      </c>
      <c r="B828" s="3" t="e">
        <f t="array" aca="1" ref="B828" ca="1">_xludf.XLOOKUP(A828,duobahlul_videos!$A$1:$A$52,duobahlul_videos!$B$1:$B$52)</f>
        <v>#NAME?</v>
      </c>
      <c r="C828" s="3" t="s">
        <v>1916</v>
      </c>
      <c r="D828" s="3">
        <v>7</v>
      </c>
      <c r="E828" s="3" t="s">
        <v>1917</v>
      </c>
    </row>
    <row r="829" spans="1:5" ht="13" hidden="1" x14ac:dyDescent="0.15">
      <c r="A829" s="3" t="s">
        <v>297</v>
      </c>
      <c r="B829" s="3" t="e">
        <f t="array" aca="1" ref="B829" ca="1">_xludf.XLOOKUP(A829,duobahlul_videos!$A$1:$A$52,duobahlul_videos!$B$1:$B$52)</f>
        <v>#NAME?</v>
      </c>
      <c r="C829" s="3" t="s">
        <v>1918</v>
      </c>
      <c r="D829" s="3">
        <v>13</v>
      </c>
      <c r="E829" s="3" t="s">
        <v>1919</v>
      </c>
    </row>
    <row r="830" spans="1:5" ht="13" hidden="1" x14ac:dyDescent="0.15">
      <c r="A830" s="3" t="s">
        <v>297</v>
      </c>
      <c r="B830" s="3" t="e">
        <f t="array" aca="1" ref="B830" ca="1">_xludf.XLOOKUP(A830,duobahlul_videos!$A$1:$A$52,duobahlul_videos!$B$1:$B$52)</f>
        <v>#NAME?</v>
      </c>
      <c r="C830" s="3" t="s">
        <v>1920</v>
      </c>
      <c r="D830" s="3">
        <v>8</v>
      </c>
      <c r="E830" s="3" t="s">
        <v>1921</v>
      </c>
    </row>
    <row r="831" spans="1:5" ht="13" hidden="1" x14ac:dyDescent="0.15">
      <c r="A831" s="3" t="s">
        <v>297</v>
      </c>
      <c r="B831" s="3" t="e">
        <f t="array" aca="1" ref="B831" ca="1">_xludf.XLOOKUP(A831,duobahlul_videos!$A$1:$A$52,duobahlul_videos!$B$1:$B$52)</f>
        <v>#NAME?</v>
      </c>
      <c r="C831" s="3" t="s">
        <v>1922</v>
      </c>
      <c r="D831" s="3">
        <v>5</v>
      </c>
      <c r="E831" s="3" t="s">
        <v>1923</v>
      </c>
    </row>
    <row r="832" spans="1:5" ht="13" hidden="1" x14ac:dyDescent="0.15">
      <c r="A832" s="3" t="s">
        <v>297</v>
      </c>
      <c r="B832" s="3" t="e">
        <f t="array" aca="1" ref="B832" ca="1">_xludf.XLOOKUP(A832,duobahlul_videos!$A$1:$A$52,duobahlul_videos!$B$1:$B$52)</f>
        <v>#NAME?</v>
      </c>
      <c r="C832" s="3" t="s">
        <v>1924</v>
      </c>
      <c r="D832" s="3">
        <v>74</v>
      </c>
      <c r="E832" s="3" t="s">
        <v>1925</v>
      </c>
    </row>
    <row r="833" spans="1:5" ht="13" hidden="1" x14ac:dyDescent="0.15">
      <c r="A833" s="3" t="s">
        <v>297</v>
      </c>
      <c r="B833" s="3" t="e">
        <f t="array" aca="1" ref="B833" ca="1">_xludf.XLOOKUP(A833,duobahlul_videos!$A$1:$A$52,duobahlul_videos!$B$1:$B$52)</f>
        <v>#NAME?</v>
      </c>
      <c r="C833" s="3" t="s">
        <v>1926</v>
      </c>
      <c r="D833" s="3">
        <v>5</v>
      </c>
      <c r="E833" s="3" t="s">
        <v>1927</v>
      </c>
    </row>
    <row r="834" spans="1:5" ht="13" hidden="1" x14ac:dyDescent="0.15">
      <c r="A834" s="3" t="s">
        <v>297</v>
      </c>
      <c r="B834" s="3" t="e">
        <f t="array" aca="1" ref="B834" ca="1">_xludf.XLOOKUP(A834,duobahlul_videos!$A$1:$A$52,duobahlul_videos!$B$1:$B$52)</f>
        <v>#NAME?</v>
      </c>
      <c r="C834" s="3" t="s">
        <v>1928</v>
      </c>
      <c r="D834" s="3">
        <v>0</v>
      </c>
      <c r="E834" s="3" t="s">
        <v>1929</v>
      </c>
    </row>
    <row r="835" spans="1:5" ht="13" hidden="1" x14ac:dyDescent="0.15">
      <c r="A835" s="3" t="s">
        <v>297</v>
      </c>
      <c r="B835" s="3" t="e">
        <f t="array" aca="1" ref="B835" ca="1">_xludf.XLOOKUP(A835,duobahlul_videos!$A$1:$A$52,duobahlul_videos!$B$1:$B$52)</f>
        <v>#NAME?</v>
      </c>
      <c r="C835" s="3" t="s">
        <v>1930</v>
      </c>
      <c r="D835" s="3">
        <v>15</v>
      </c>
      <c r="E835" s="3" t="s">
        <v>1931</v>
      </c>
    </row>
    <row r="836" spans="1:5" ht="13" hidden="1" x14ac:dyDescent="0.15">
      <c r="A836" s="3" t="s">
        <v>297</v>
      </c>
      <c r="B836" s="3" t="e">
        <f t="array" aca="1" ref="B836" ca="1">_xludf.XLOOKUP(A836,duobahlul_videos!$A$1:$A$52,duobahlul_videos!$B$1:$B$52)</f>
        <v>#NAME?</v>
      </c>
      <c r="C836" s="3" t="s">
        <v>1932</v>
      </c>
      <c r="D836" s="3">
        <v>5</v>
      </c>
      <c r="E836" s="3" t="s">
        <v>1933</v>
      </c>
    </row>
    <row r="837" spans="1:5" ht="13" hidden="1" x14ac:dyDescent="0.15">
      <c r="A837" s="3" t="s">
        <v>297</v>
      </c>
      <c r="B837" s="3" t="e">
        <f t="array" aca="1" ref="B837" ca="1">_xludf.XLOOKUP(A837,duobahlul_videos!$A$1:$A$52,duobahlul_videos!$B$1:$B$52)</f>
        <v>#NAME?</v>
      </c>
      <c r="C837" s="3" t="s">
        <v>1934</v>
      </c>
      <c r="D837" s="3">
        <v>14</v>
      </c>
      <c r="E837" s="3" t="s">
        <v>1935</v>
      </c>
    </row>
    <row r="838" spans="1:5" ht="13" hidden="1" x14ac:dyDescent="0.15">
      <c r="A838" s="3" t="s">
        <v>297</v>
      </c>
      <c r="B838" s="3" t="e">
        <f t="array" aca="1" ref="B838" ca="1">_xludf.XLOOKUP(A838,duobahlul_videos!$A$1:$A$52,duobahlul_videos!$B$1:$B$52)</f>
        <v>#NAME?</v>
      </c>
      <c r="C838" s="3" t="s">
        <v>1936</v>
      </c>
      <c r="D838" s="3">
        <v>14</v>
      </c>
      <c r="E838" s="3" t="s">
        <v>1937</v>
      </c>
    </row>
    <row r="839" spans="1:5" ht="13" hidden="1" x14ac:dyDescent="0.15">
      <c r="A839" s="3" t="s">
        <v>297</v>
      </c>
      <c r="B839" s="3" t="e">
        <f t="array" aca="1" ref="B839" ca="1">_xludf.XLOOKUP(A839,duobahlul_videos!$A$1:$A$52,duobahlul_videos!$B$1:$B$52)</f>
        <v>#NAME?</v>
      </c>
      <c r="C839" s="3" t="s">
        <v>1938</v>
      </c>
      <c r="D839" s="3">
        <v>14</v>
      </c>
      <c r="E839" s="3" t="s">
        <v>1939</v>
      </c>
    </row>
    <row r="840" spans="1:5" ht="13" hidden="1" x14ac:dyDescent="0.15">
      <c r="A840" s="3" t="s">
        <v>297</v>
      </c>
      <c r="B840" s="3" t="e">
        <f t="array" aca="1" ref="B840" ca="1">_xludf.XLOOKUP(A840,duobahlul_videos!$A$1:$A$52,duobahlul_videos!$B$1:$B$52)</f>
        <v>#NAME?</v>
      </c>
      <c r="C840" s="3" t="s">
        <v>1940</v>
      </c>
      <c r="D840" s="3">
        <v>7</v>
      </c>
      <c r="E840" s="3" t="s">
        <v>1941</v>
      </c>
    </row>
    <row r="841" spans="1:5" ht="13" hidden="1" x14ac:dyDescent="0.15">
      <c r="A841" s="3" t="s">
        <v>382</v>
      </c>
      <c r="B841" s="3" t="e">
        <f t="array" aca="1" ref="B841" ca="1">_xludf.XLOOKUP(A841,duobahlul_videos!$A$1:$A$52,duobahlul_videos!$B$1:$B$52)</f>
        <v>#NAME?</v>
      </c>
      <c r="C841" s="3" t="s">
        <v>1642</v>
      </c>
      <c r="D841" s="3">
        <v>0</v>
      </c>
      <c r="E841" s="3" t="s">
        <v>1942</v>
      </c>
    </row>
    <row r="842" spans="1:5" ht="13" hidden="1" x14ac:dyDescent="0.15">
      <c r="A842" s="3" t="s">
        <v>382</v>
      </c>
      <c r="B842" s="3" t="e">
        <f t="array" aca="1" ref="B842" ca="1">_xludf.XLOOKUP(A842,duobahlul_videos!$A$1:$A$52,duobahlul_videos!$B$1:$B$52)</f>
        <v>#NAME?</v>
      </c>
      <c r="C842" s="3" t="s">
        <v>1943</v>
      </c>
      <c r="D842" s="3">
        <v>0</v>
      </c>
      <c r="E842" s="3" t="s">
        <v>1944</v>
      </c>
    </row>
    <row r="843" spans="1:5" ht="13" hidden="1" x14ac:dyDescent="0.15">
      <c r="A843" s="3" t="s">
        <v>382</v>
      </c>
      <c r="B843" s="3" t="e">
        <f t="array" aca="1" ref="B843" ca="1">_xludf.XLOOKUP(A843,duobahlul_videos!$A$1:$A$52,duobahlul_videos!$B$1:$B$52)</f>
        <v>#NAME?</v>
      </c>
      <c r="C843" s="3" t="s">
        <v>1945</v>
      </c>
      <c r="D843" s="3">
        <v>2</v>
      </c>
      <c r="E843" s="3" t="s">
        <v>1946</v>
      </c>
    </row>
    <row r="844" spans="1:5" ht="13" hidden="1" x14ac:dyDescent="0.15">
      <c r="A844" s="3" t="s">
        <v>382</v>
      </c>
      <c r="B844" s="3" t="e">
        <f t="array" aca="1" ref="B844" ca="1">_xludf.XLOOKUP(A844,duobahlul_videos!$A$1:$A$52,duobahlul_videos!$B$1:$B$52)</f>
        <v>#NAME?</v>
      </c>
      <c r="C844" s="3" t="s">
        <v>1947</v>
      </c>
      <c r="D844" s="3">
        <v>0</v>
      </c>
      <c r="E844" s="3" t="s">
        <v>1948</v>
      </c>
    </row>
    <row r="845" spans="1:5" ht="13" hidden="1" x14ac:dyDescent="0.15">
      <c r="A845" s="3" t="s">
        <v>382</v>
      </c>
      <c r="B845" s="3" t="e">
        <f t="array" aca="1" ref="B845" ca="1">_xludf.XLOOKUP(A845,duobahlul_videos!$A$1:$A$52,duobahlul_videos!$B$1:$B$52)</f>
        <v>#NAME?</v>
      </c>
      <c r="C845" s="3" t="s">
        <v>1949</v>
      </c>
      <c r="D845" s="3">
        <v>0</v>
      </c>
      <c r="E845" s="3" t="s">
        <v>1950</v>
      </c>
    </row>
    <row r="846" spans="1:5" ht="13" hidden="1" x14ac:dyDescent="0.15">
      <c r="A846" s="3" t="s">
        <v>382</v>
      </c>
      <c r="B846" s="3" t="e">
        <f t="array" aca="1" ref="B846" ca="1">_xludf.XLOOKUP(A846,duobahlul_videos!$A$1:$A$52,duobahlul_videos!$B$1:$B$52)</f>
        <v>#NAME?</v>
      </c>
      <c r="C846" s="3" t="s">
        <v>1951</v>
      </c>
      <c r="D846" s="3">
        <v>0</v>
      </c>
      <c r="E846" s="3" t="s">
        <v>1952</v>
      </c>
    </row>
    <row r="847" spans="1:5" ht="13" hidden="1" x14ac:dyDescent="0.15">
      <c r="A847" s="3" t="s">
        <v>382</v>
      </c>
      <c r="B847" s="3" t="e">
        <f t="array" aca="1" ref="B847" ca="1">_xludf.XLOOKUP(A847,duobahlul_videos!$A$1:$A$52,duobahlul_videos!$B$1:$B$52)</f>
        <v>#NAME?</v>
      </c>
      <c r="C847" s="3" t="s">
        <v>1953</v>
      </c>
      <c r="D847" s="3">
        <v>0</v>
      </c>
      <c r="E847" s="3" t="s">
        <v>1954</v>
      </c>
    </row>
    <row r="848" spans="1:5" ht="13" hidden="1" x14ac:dyDescent="0.15">
      <c r="A848" s="3" t="s">
        <v>320</v>
      </c>
      <c r="B848" s="3" t="e">
        <f t="array" aca="1" ref="B848" ca="1">_xludf.XLOOKUP(A848,duobahlul_videos!$A$1:$A$52,duobahlul_videos!$B$1:$B$52)</f>
        <v>#NAME?</v>
      </c>
      <c r="C848" s="3" t="s">
        <v>1955</v>
      </c>
      <c r="D848" s="3">
        <v>27</v>
      </c>
      <c r="E848" s="3" t="s">
        <v>1956</v>
      </c>
    </row>
    <row r="849" spans="1:5" ht="13" hidden="1" x14ac:dyDescent="0.15">
      <c r="A849" s="3" t="s">
        <v>320</v>
      </c>
      <c r="B849" s="3" t="e">
        <f t="array" aca="1" ref="B849" ca="1">_xludf.XLOOKUP(A849,duobahlul_videos!$A$1:$A$52,duobahlul_videos!$B$1:$B$52)</f>
        <v>#NAME?</v>
      </c>
      <c r="C849" s="3" t="s">
        <v>1957</v>
      </c>
      <c r="D849" s="3">
        <v>45</v>
      </c>
      <c r="E849" s="3" t="s">
        <v>1958</v>
      </c>
    </row>
    <row r="850" spans="1:5" ht="13" hidden="1" x14ac:dyDescent="0.15">
      <c r="A850" s="3" t="s">
        <v>320</v>
      </c>
      <c r="B850" s="3" t="e">
        <f t="array" aca="1" ref="B850" ca="1">_xludf.XLOOKUP(A850,duobahlul_videos!$A$1:$A$52,duobahlul_videos!$B$1:$B$52)</f>
        <v>#NAME?</v>
      </c>
      <c r="C850" s="3" t="s">
        <v>1959</v>
      </c>
      <c r="D850" s="3">
        <v>6</v>
      </c>
      <c r="E850" s="3" t="s">
        <v>1960</v>
      </c>
    </row>
    <row r="851" spans="1:5" ht="13" hidden="1" x14ac:dyDescent="0.15">
      <c r="A851" s="3" t="s">
        <v>320</v>
      </c>
      <c r="B851" s="3" t="e">
        <f t="array" aca="1" ref="B851" ca="1">_xludf.XLOOKUP(A851,duobahlul_videos!$A$1:$A$52,duobahlul_videos!$B$1:$B$52)</f>
        <v>#NAME?</v>
      </c>
      <c r="C851" s="3" t="s">
        <v>1961</v>
      </c>
      <c r="D851" s="3">
        <v>4</v>
      </c>
      <c r="E851" s="3" t="s">
        <v>1962</v>
      </c>
    </row>
    <row r="852" spans="1:5" ht="13" hidden="1" x14ac:dyDescent="0.15">
      <c r="A852" s="3" t="s">
        <v>320</v>
      </c>
      <c r="B852" s="3" t="e">
        <f t="array" aca="1" ref="B852" ca="1">_xludf.XLOOKUP(A852,duobahlul_videos!$A$1:$A$52,duobahlul_videos!$B$1:$B$52)</f>
        <v>#NAME?</v>
      </c>
      <c r="C852" s="3" t="s">
        <v>1963</v>
      </c>
      <c r="D852" s="3">
        <v>12</v>
      </c>
      <c r="E852" s="3" t="s">
        <v>1964</v>
      </c>
    </row>
    <row r="853" spans="1:5" ht="13" hidden="1" x14ac:dyDescent="0.15">
      <c r="A853" s="3" t="s">
        <v>320</v>
      </c>
      <c r="B853" s="3" t="e">
        <f t="array" aca="1" ref="B853" ca="1">_xludf.XLOOKUP(A853,duobahlul_videos!$A$1:$A$52,duobahlul_videos!$B$1:$B$52)</f>
        <v>#NAME?</v>
      </c>
      <c r="C853" s="3" t="s">
        <v>1965</v>
      </c>
      <c r="D853" s="3">
        <v>30</v>
      </c>
      <c r="E853" s="3" t="s">
        <v>1966</v>
      </c>
    </row>
    <row r="854" spans="1:5" ht="13" hidden="1" x14ac:dyDescent="0.15">
      <c r="A854" s="3" t="s">
        <v>320</v>
      </c>
      <c r="B854" s="3" t="e">
        <f t="array" aca="1" ref="B854" ca="1">_xludf.XLOOKUP(A854,duobahlul_videos!$A$1:$A$52,duobahlul_videos!$B$1:$B$52)</f>
        <v>#NAME?</v>
      </c>
      <c r="C854" s="3" t="s">
        <v>1967</v>
      </c>
      <c r="D854" s="3">
        <v>8</v>
      </c>
      <c r="E854" s="3" t="s">
        <v>1968</v>
      </c>
    </row>
    <row r="855" spans="1:5" ht="13" hidden="1" x14ac:dyDescent="0.15">
      <c r="A855" s="3" t="s">
        <v>320</v>
      </c>
      <c r="B855" s="3" t="e">
        <f t="array" aca="1" ref="B855" ca="1">_xludf.XLOOKUP(A855,duobahlul_videos!$A$1:$A$52,duobahlul_videos!$B$1:$B$52)</f>
        <v>#NAME?</v>
      </c>
      <c r="C855" s="3" t="s">
        <v>1969</v>
      </c>
      <c r="D855" s="3">
        <v>23</v>
      </c>
      <c r="E855" s="3" t="s">
        <v>1970</v>
      </c>
    </row>
    <row r="856" spans="1:5" ht="13" hidden="1" x14ac:dyDescent="0.15">
      <c r="A856" s="3" t="s">
        <v>320</v>
      </c>
      <c r="B856" s="3" t="e">
        <f t="array" aca="1" ref="B856" ca="1">_xludf.XLOOKUP(A856,duobahlul_videos!$A$1:$A$52,duobahlul_videos!$B$1:$B$52)</f>
        <v>#NAME?</v>
      </c>
      <c r="C856" s="3" t="s">
        <v>1971</v>
      </c>
      <c r="D856" s="3">
        <v>2</v>
      </c>
      <c r="E856" s="3" t="s">
        <v>1972</v>
      </c>
    </row>
    <row r="857" spans="1:5" ht="13" hidden="1" x14ac:dyDescent="0.15">
      <c r="A857" s="3" t="s">
        <v>320</v>
      </c>
      <c r="B857" s="3" t="e">
        <f t="array" aca="1" ref="B857" ca="1">_xludf.XLOOKUP(A857,duobahlul_videos!$A$1:$A$52,duobahlul_videos!$B$1:$B$52)</f>
        <v>#NAME?</v>
      </c>
      <c r="C857" s="3" t="s">
        <v>1973</v>
      </c>
      <c r="D857" s="3">
        <v>7</v>
      </c>
      <c r="E857" s="3" t="s">
        <v>1974</v>
      </c>
    </row>
    <row r="858" spans="1:5" ht="13" hidden="1" x14ac:dyDescent="0.15">
      <c r="A858" s="3" t="s">
        <v>320</v>
      </c>
      <c r="B858" s="3" t="e">
        <f t="array" aca="1" ref="B858" ca="1">_xludf.XLOOKUP(A858,duobahlul_videos!$A$1:$A$52,duobahlul_videos!$B$1:$B$52)</f>
        <v>#NAME?</v>
      </c>
      <c r="C858" s="3" t="s">
        <v>1975</v>
      </c>
      <c r="D858" s="3">
        <v>3</v>
      </c>
      <c r="E858" s="3" t="s">
        <v>1976</v>
      </c>
    </row>
    <row r="859" spans="1:5" ht="13" hidden="1" x14ac:dyDescent="0.15">
      <c r="A859" s="3" t="s">
        <v>320</v>
      </c>
      <c r="B859" s="3" t="e">
        <f t="array" aca="1" ref="B859" ca="1">_xludf.XLOOKUP(A859,duobahlul_videos!$A$1:$A$52,duobahlul_videos!$B$1:$B$52)</f>
        <v>#NAME?</v>
      </c>
      <c r="C859" s="3" t="s">
        <v>1977</v>
      </c>
      <c r="D859" s="3">
        <v>2</v>
      </c>
      <c r="E859" s="3" t="s">
        <v>1978</v>
      </c>
    </row>
    <row r="860" spans="1:5" ht="13" hidden="1" x14ac:dyDescent="0.15">
      <c r="A860" s="3" t="s">
        <v>320</v>
      </c>
      <c r="B860" s="3" t="e">
        <f t="array" aca="1" ref="B860" ca="1">_xludf.XLOOKUP(A860,duobahlul_videos!$A$1:$A$52,duobahlul_videos!$B$1:$B$52)</f>
        <v>#NAME?</v>
      </c>
      <c r="C860" s="3" t="s">
        <v>1979</v>
      </c>
      <c r="D860" s="3">
        <v>6</v>
      </c>
      <c r="E860" s="3" t="s">
        <v>1980</v>
      </c>
    </row>
    <row r="861" spans="1:5" ht="13" hidden="1" x14ac:dyDescent="0.15">
      <c r="A861" s="3" t="s">
        <v>320</v>
      </c>
      <c r="B861" s="3" t="e">
        <f t="array" aca="1" ref="B861" ca="1">_xludf.XLOOKUP(A861,duobahlul_videos!$A$1:$A$52,duobahlul_videos!$B$1:$B$52)</f>
        <v>#NAME?</v>
      </c>
      <c r="C861" s="3" t="s">
        <v>1981</v>
      </c>
      <c r="D861" s="3">
        <v>3</v>
      </c>
      <c r="E861" s="3" t="s">
        <v>1982</v>
      </c>
    </row>
    <row r="862" spans="1:5" ht="13" hidden="1" x14ac:dyDescent="0.15">
      <c r="A862" s="3" t="s">
        <v>320</v>
      </c>
      <c r="B862" s="3" t="e">
        <f t="array" aca="1" ref="B862" ca="1">_xludf.XLOOKUP(A862,duobahlul_videos!$A$1:$A$52,duobahlul_videos!$B$1:$B$52)</f>
        <v>#NAME?</v>
      </c>
      <c r="C862" s="3" t="s">
        <v>1983</v>
      </c>
      <c r="D862" s="3">
        <v>0</v>
      </c>
      <c r="E862" s="3" t="s">
        <v>1984</v>
      </c>
    </row>
    <row r="863" spans="1:5" ht="13" hidden="1" x14ac:dyDescent="0.15">
      <c r="A863" s="3" t="s">
        <v>320</v>
      </c>
      <c r="B863" s="3" t="e">
        <f t="array" aca="1" ref="B863" ca="1">_xludf.XLOOKUP(A863,duobahlul_videos!$A$1:$A$52,duobahlul_videos!$B$1:$B$52)</f>
        <v>#NAME?</v>
      </c>
      <c r="C863" s="3" t="s">
        <v>1985</v>
      </c>
      <c r="D863" s="3">
        <v>5</v>
      </c>
      <c r="E863" s="3" t="s">
        <v>1986</v>
      </c>
    </row>
    <row r="864" spans="1:5" ht="13" hidden="1" x14ac:dyDescent="0.15">
      <c r="A864" s="3" t="s">
        <v>320</v>
      </c>
      <c r="B864" s="3" t="e">
        <f t="array" aca="1" ref="B864" ca="1">_xludf.XLOOKUP(A864,duobahlul_videos!$A$1:$A$52,duobahlul_videos!$B$1:$B$52)</f>
        <v>#NAME?</v>
      </c>
      <c r="C864" s="3" t="s">
        <v>1987</v>
      </c>
      <c r="D864" s="3">
        <v>1</v>
      </c>
      <c r="E864" s="3" t="s">
        <v>1988</v>
      </c>
    </row>
    <row r="865" spans="1:5" ht="13" hidden="1" x14ac:dyDescent="0.15">
      <c r="A865" s="3" t="s">
        <v>320</v>
      </c>
      <c r="B865" s="3" t="e">
        <f t="array" aca="1" ref="B865" ca="1">_xludf.XLOOKUP(A865,duobahlul_videos!$A$1:$A$52,duobahlul_videos!$B$1:$B$52)</f>
        <v>#NAME?</v>
      </c>
      <c r="C865" s="3" t="s">
        <v>1989</v>
      </c>
      <c r="D865" s="3">
        <v>1</v>
      </c>
      <c r="E865" s="3" t="s">
        <v>1990</v>
      </c>
    </row>
    <row r="866" spans="1:5" ht="13" hidden="1" x14ac:dyDescent="0.15">
      <c r="A866" s="3" t="s">
        <v>320</v>
      </c>
      <c r="B866" s="3" t="e">
        <f t="array" aca="1" ref="B866" ca="1">_xludf.XLOOKUP(A866,duobahlul_videos!$A$1:$A$52,duobahlul_videos!$B$1:$B$52)</f>
        <v>#NAME?</v>
      </c>
      <c r="C866" s="3" t="s">
        <v>1991</v>
      </c>
      <c r="D866" s="3">
        <v>0</v>
      </c>
      <c r="E866" s="3" t="s">
        <v>1992</v>
      </c>
    </row>
    <row r="867" spans="1:5" ht="13" hidden="1" x14ac:dyDescent="0.15">
      <c r="A867" s="3" t="s">
        <v>320</v>
      </c>
      <c r="B867" s="3" t="e">
        <f t="array" aca="1" ref="B867" ca="1">_xludf.XLOOKUP(A867,duobahlul_videos!$A$1:$A$52,duobahlul_videos!$B$1:$B$52)</f>
        <v>#NAME?</v>
      </c>
      <c r="C867" s="3" t="s">
        <v>1993</v>
      </c>
      <c r="D867" s="3">
        <v>6</v>
      </c>
      <c r="E867" s="3" t="s">
        <v>1994</v>
      </c>
    </row>
    <row r="868" spans="1:5" ht="13" hidden="1" x14ac:dyDescent="0.15">
      <c r="A868" s="3" t="s">
        <v>279</v>
      </c>
      <c r="B868" s="3" t="e">
        <f t="array" aca="1" ref="B868" ca="1">_xludf.XLOOKUP(A868,duobahlul_videos!$A$1:$A$52,duobahlul_videos!$B$1:$B$52)</f>
        <v>#NAME?</v>
      </c>
      <c r="C868" s="3" t="s">
        <v>1995</v>
      </c>
      <c r="D868" s="3">
        <v>52</v>
      </c>
      <c r="E868" s="3" t="s">
        <v>1996</v>
      </c>
    </row>
    <row r="869" spans="1:5" ht="13" hidden="1" x14ac:dyDescent="0.15">
      <c r="A869" s="3" t="s">
        <v>279</v>
      </c>
      <c r="B869" s="3" t="e">
        <f t="array" aca="1" ref="B869" ca="1">_xludf.XLOOKUP(A869,duobahlul_videos!$A$1:$A$52,duobahlul_videos!$B$1:$B$52)</f>
        <v>#NAME?</v>
      </c>
      <c r="C869" s="3" t="s">
        <v>1997</v>
      </c>
      <c r="D869" s="3">
        <v>73</v>
      </c>
      <c r="E869" s="3" t="s">
        <v>1998</v>
      </c>
    </row>
    <row r="870" spans="1:5" ht="13" hidden="1" x14ac:dyDescent="0.15">
      <c r="A870" s="3" t="s">
        <v>279</v>
      </c>
      <c r="B870" s="3" t="e">
        <f t="array" aca="1" ref="B870" ca="1">_xludf.XLOOKUP(A870,duobahlul_videos!$A$1:$A$52,duobahlul_videos!$B$1:$B$52)</f>
        <v>#NAME?</v>
      </c>
      <c r="C870" s="3" t="s">
        <v>1999</v>
      </c>
      <c r="D870" s="3">
        <v>18</v>
      </c>
      <c r="E870" s="3" t="s">
        <v>2000</v>
      </c>
    </row>
    <row r="871" spans="1:5" ht="13" hidden="1" x14ac:dyDescent="0.15">
      <c r="A871" s="3" t="s">
        <v>279</v>
      </c>
      <c r="B871" s="3" t="e">
        <f t="array" aca="1" ref="B871" ca="1">_xludf.XLOOKUP(A871,duobahlul_videos!$A$1:$A$52,duobahlul_videos!$B$1:$B$52)</f>
        <v>#NAME?</v>
      </c>
      <c r="C871" s="3" t="s">
        <v>2001</v>
      </c>
      <c r="D871" s="3">
        <v>154</v>
      </c>
      <c r="E871" s="3" t="s">
        <v>2002</v>
      </c>
    </row>
    <row r="872" spans="1:5" ht="13" hidden="1" x14ac:dyDescent="0.15">
      <c r="A872" s="3" t="s">
        <v>279</v>
      </c>
      <c r="B872" s="3" t="e">
        <f t="array" aca="1" ref="B872" ca="1">_xludf.XLOOKUP(A872,duobahlul_videos!$A$1:$A$52,duobahlul_videos!$B$1:$B$52)</f>
        <v>#NAME?</v>
      </c>
      <c r="C872" s="3" t="s">
        <v>2003</v>
      </c>
      <c r="D872" s="3">
        <v>31</v>
      </c>
      <c r="E872" s="3" t="s">
        <v>2004</v>
      </c>
    </row>
    <row r="873" spans="1:5" ht="13" hidden="1" x14ac:dyDescent="0.15">
      <c r="A873" s="3" t="s">
        <v>279</v>
      </c>
      <c r="B873" s="3" t="e">
        <f t="array" aca="1" ref="B873" ca="1">_xludf.XLOOKUP(A873,duobahlul_videos!$A$1:$A$52,duobahlul_videos!$B$1:$B$52)</f>
        <v>#NAME?</v>
      </c>
      <c r="C873" s="3" t="s">
        <v>2005</v>
      </c>
      <c r="D873" s="3">
        <v>15</v>
      </c>
      <c r="E873" s="3" t="s">
        <v>2006</v>
      </c>
    </row>
    <row r="874" spans="1:5" ht="13" hidden="1" x14ac:dyDescent="0.15">
      <c r="A874" s="3" t="s">
        <v>279</v>
      </c>
      <c r="B874" s="3" t="e">
        <f t="array" aca="1" ref="B874" ca="1">_xludf.XLOOKUP(A874,duobahlul_videos!$A$1:$A$52,duobahlul_videos!$B$1:$B$52)</f>
        <v>#NAME?</v>
      </c>
      <c r="C874" s="3" t="s">
        <v>2007</v>
      </c>
      <c r="D874" s="3">
        <v>45</v>
      </c>
      <c r="E874" s="3" t="s">
        <v>2008</v>
      </c>
    </row>
    <row r="875" spans="1:5" ht="13" hidden="1" x14ac:dyDescent="0.15">
      <c r="A875" s="3" t="s">
        <v>279</v>
      </c>
      <c r="B875" s="3" t="e">
        <f t="array" aca="1" ref="B875" ca="1">_xludf.XLOOKUP(A875,duobahlul_videos!$A$1:$A$52,duobahlul_videos!$B$1:$B$52)</f>
        <v>#NAME?</v>
      </c>
      <c r="C875" s="3" t="s">
        <v>2009</v>
      </c>
      <c r="D875" s="3">
        <v>80</v>
      </c>
      <c r="E875" s="3" t="s">
        <v>2010</v>
      </c>
    </row>
    <row r="876" spans="1:5" ht="13" hidden="1" x14ac:dyDescent="0.15">
      <c r="A876" s="3" t="s">
        <v>279</v>
      </c>
      <c r="B876" s="3" t="e">
        <f t="array" aca="1" ref="B876" ca="1">_xludf.XLOOKUP(A876,duobahlul_videos!$A$1:$A$52,duobahlul_videos!$B$1:$B$52)</f>
        <v>#NAME?</v>
      </c>
      <c r="C876" s="3" t="s">
        <v>2011</v>
      </c>
      <c r="D876" s="3">
        <v>5</v>
      </c>
      <c r="E876" s="3" t="s">
        <v>2012</v>
      </c>
    </row>
    <row r="877" spans="1:5" ht="13" hidden="1" x14ac:dyDescent="0.15">
      <c r="A877" s="3" t="s">
        <v>279</v>
      </c>
      <c r="B877" s="3" t="e">
        <f t="array" aca="1" ref="B877" ca="1">_xludf.XLOOKUP(A877,duobahlul_videos!$A$1:$A$52,duobahlul_videos!$B$1:$B$52)</f>
        <v>#NAME?</v>
      </c>
      <c r="C877" s="3" t="s">
        <v>2013</v>
      </c>
      <c r="D877" s="3">
        <v>19</v>
      </c>
      <c r="E877" s="3" t="s">
        <v>2014</v>
      </c>
    </row>
    <row r="878" spans="1:5" ht="13" hidden="1" x14ac:dyDescent="0.15">
      <c r="A878" s="3" t="s">
        <v>279</v>
      </c>
      <c r="B878" s="3" t="e">
        <f t="array" aca="1" ref="B878" ca="1">_xludf.XLOOKUP(A878,duobahlul_videos!$A$1:$A$52,duobahlul_videos!$B$1:$B$52)</f>
        <v>#NAME?</v>
      </c>
      <c r="C878" s="3" t="s">
        <v>2015</v>
      </c>
      <c r="D878" s="3">
        <v>8</v>
      </c>
      <c r="E878" s="3" t="s">
        <v>2016</v>
      </c>
    </row>
    <row r="879" spans="1:5" ht="13" hidden="1" x14ac:dyDescent="0.15">
      <c r="A879" s="3" t="s">
        <v>279</v>
      </c>
      <c r="B879" s="3" t="e">
        <f t="array" aca="1" ref="B879" ca="1">_xludf.XLOOKUP(A879,duobahlul_videos!$A$1:$A$52,duobahlul_videos!$B$1:$B$52)</f>
        <v>#NAME?</v>
      </c>
      <c r="C879" s="3" t="s">
        <v>2017</v>
      </c>
      <c r="D879" s="3">
        <v>15</v>
      </c>
      <c r="E879" s="3" t="s">
        <v>2018</v>
      </c>
    </row>
    <row r="880" spans="1:5" ht="13" hidden="1" x14ac:dyDescent="0.15">
      <c r="A880" s="3" t="s">
        <v>279</v>
      </c>
      <c r="B880" s="3" t="e">
        <f t="array" aca="1" ref="B880" ca="1">_xludf.XLOOKUP(A880,duobahlul_videos!$A$1:$A$52,duobahlul_videos!$B$1:$B$52)</f>
        <v>#NAME?</v>
      </c>
      <c r="C880" s="3" t="s">
        <v>2019</v>
      </c>
      <c r="D880" s="3">
        <v>29</v>
      </c>
      <c r="E880" s="3" t="s">
        <v>2020</v>
      </c>
    </row>
    <row r="881" spans="1:5" ht="13" hidden="1" x14ac:dyDescent="0.15">
      <c r="A881" s="3" t="s">
        <v>279</v>
      </c>
      <c r="B881" s="3" t="e">
        <f t="array" aca="1" ref="B881" ca="1">_xludf.XLOOKUP(A881,duobahlul_videos!$A$1:$A$52,duobahlul_videos!$B$1:$B$52)</f>
        <v>#NAME?</v>
      </c>
      <c r="C881" s="3" t="s">
        <v>2021</v>
      </c>
      <c r="D881" s="3">
        <v>8</v>
      </c>
      <c r="E881" s="3" t="s">
        <v>2022</v>
      </c>
    </row>
    <row r="882" spans="1:5" ht="13" hidden="1" x14ac:dyDescent="0.15">
      <c r="A882" s="3" t="s">
        <v>279</v>
      </c>
      <c r="B882" s="3" t="e">
        <f t="array" aca="1" ref="B882" ca="1">_xludf.XLOOKUP(A882,duobahlul_videos!$A$1:$A$52,duobahlul_videos!$B$1:$B$52)</f>
        <v>#NAME?</v>
      </c>
      <c r="C882" s="3" t="s">
        <v>2023</v>
      </c>
      <c r="D882" s="3">
        <v>20</v>
      </c>
      <c r="E882" s="3" t="s">
        <v>2024</v>
      </c>
    </row>
    <row r="883" spans="1:5" ht="13" hidden="1" x14ac:dyDescent="0.15">
      <c r="A883" s="3" t="s">
        <v>279</v>
      </c>
      <c r="B883" s="3" t="e">
        <f t="array" aca="1" ref="B883" ca="1">_xludf.XLOOKUP(A883,duobahlul_videos!$A$1:$A$52,duobahlul_videos!$B$1:$B$52)</f>
        <v>#NAME?</v>
      </c>
      <c r="C883" s="3" t="s">
        <v>2025</v>
      </c>
      <c r="D883" s="3">
        <v>14</v>
      </c>
      <c r="E883" s="3" t="s">
        <v>2026</v>
      </c>
    </row>
    <row r="884" spans="1:5" ht="13" hidden="1" x14ac:dyDescent="0.15">
      <c r="A884" s="3" t="s">
        <v>279</v>
      </c>
      <c r="B884" s="3" t="e">
        <f t="array" aca="1" ref="B884" ca="1">_xludf.XLOOKUP(A884,duobahlul_videos!$A$1:$A$52,duobahlul_videos!$B$1:$B$52)</f>
        <v>#NAME?</v>
      </c>
      <c r="C884" s="3" t="s">
        <v>2027</v>
      </c>
      <c r="D884" s="3">
        <v>49</v>
      </c>
      <c r="E884" s="3" t="s">
        <v>2028</v>
      </c>
    </row>
    <row r="885" spans="1:5" ht="13" hidden="1" x14ac:dyDescent="0.15">
      <c r="A885" s="3" t="s">
        <v>279</v>
      </c>
      <c r="B885" s="3" t="e">
        <f t="array" aca="1" ref="B885" ca="1">_xludf.XLOOKUP(A885,duobahlul_videos!$A$1:$A$52,duobahlul_videos!$B$1:$B$52)</f>
        <v>#NAME?</v>
      </c>
      <c r="C885" s="3" t="s">
        <v>2029</v>
      </c>
      <c r="D885" s="3">
        <v>12</v>
      </c>
      <c r="E885" s="3" t="s">
        <v>2030</v>
      </c>
    </row>
    <row r="886" spans="1:5" ht="13" hidden="1" x14ac:dyDescent="0.15">
      <c r="A886" s="3" t="s">
        <v>279</v>
      </c>
      <c r="B886" s="3" t="e">
        <f t="array" aca="1" ref="B886" ca="1">_xludf.XLOOKUP(A886,duobahlul_videos!$A$1:$A$52,duobahlul_videos!$B$1:$B$52)</f>
        <v>#NAME?</v>
      </c>
      <c r="C886" s="3" t="s">
        <v>2031</v>
      </c>
      <c r="D886" s="3">
        <v>9</v>
      </c>
      <c r="E886" s="3" t="s">
        <v>2032</v>
      </c>
    </row>
    <row r="887" spans="1:5" ht="13" hidden="1" x14ac:dyDescent="0.15">
      <c r="A887" s="3" t="s">
        <v>279</v>
      </c>
      <c r="B887" s="3" t="e">
        <f t="array" aca="1" ref="B887" ca="1">_xludf.XLOOKUP(A887,duobahlul_videos!$A$1:$A$52,duobahlul_videos!$B$1:$B$52)</f>
        <v>#NAME?</v>
      </c>
      <c r="C887" s="3" t="s">
        <v>2033</v>
      </c>
      <c r="D887" s="3">
        <v>5</v>
      </c>
      <c r="E887" s="3" t="s">
        <v>2034</v>
      </c>
    </row>
    <row r="888" spans="1:5" ht="13" hidden="1" x14ac:dyDescent="0.15">
      <c r="A888" s="3" t="s">
        <v>353</v>
      </c>
      <c r="B888" s="3" t="e">
        <f t="array" aca="1" ref="B888" ca="1">_xludf.XLOOKUP(A888,duobahlul_videos!$A$1:$A$52,duobahlul_videos!$B$1:$B$52)</f>
        <v>#NAME?</v>
      </c>
      <c r="C888" s="3" t="s">
        <v>2035</v>
      </c>
      <c r="D888" s="3">
        <v>9</v>
      </c>
      <c r="E888" s="3" t="s">
        <v>2036</v>
      </c>
    </row>
    <row r="889" spans="1:5" ht="13" hidden="1" x14ac:dyDescent="0.15">
      <c r="A889" s="3" t="s">
        <v>353</v>
      </c>
      <c r="B889" s="3" t="e">
        <f t="array" aca="1" ref="B889" ca="1">_xludf.XLOOKUP(A889,duobahlul_videos!$A$1:$A$52,duobahlul_videos!$B$1:$B$52)</f>
        <v>#NAME?</v>
      </c>
      <c r="C889" s="3" t="s">
        <v>2037</v>
      </c>
      <c r="D889" s="3">
        <v>34</v>
      </c>
      <c r="E889" s="3" t="s">
        <v>2038</v>
      </c>
    </row>
    <row r="890" spans="1:5" ht="13" hidden="1" x14ac:dyDescent="0.15">
      <c r="A890" s="3" t="s">
        <v>353</v>
      </c>
      <c r="B890" s="3" t="e">
        <f t="array" aca="1" ref="B890" ca="1">_xludf.XLOOKUP(A890,duobahlul_videos!$A$1:$A$52,duobahlul_videos!$B$1:$B$52)</f>
        <v>#NAME?</v>
      </c>
      <c r="C890" s="3" t="s">
        <v>2039</v>
      </c>
      <c r="D890" s="3">
        <v>21</v>
      </c>
      <c r="E890" s="3" t="s">
        <v>2040</v>
      </c>
    </row>
    <row r="891" spans="1:5" ht="13" hidden="1" x14ac:dyDescent="0.15">
      <c r="A891" s="3" t="s">
        <v>353</v>
      </c>
      <c r="B891" s="3" t="e">
        <f t="array" aca="1" ref="B891" ca="1">_xludf.XLOOKUP(A891,duobahlul_videos!$A$1:$A$52,duobahlul_videos!$B$1:$B$52)</f>
        <v>#NAME?</v>
      </c>
      <c r="C891" s="3" t="s">
        <v>2041</v>
      </c>
      <c r="D891" s="3">
        <v>5</v>
      </c>
      <c r="E891" s="3" t="s">
        <v>2042</v>
      </c>
    </row>
    <row r="892" spans="1:5" ht="13" hidden="1" x14ac:dyDescent="0.15">
      <c r="A892" s="3" t="s">
        <v>353</v>
      </c>
      <c r="B892" s="3" t="e">
        <f t="array" aca="1" ref="B892" ca="1">_xludf.XLOOKUP(A892,duobahlul_videos!$A$1:$A$52,duobahlul_videos!$B$1:$B$52)</f>
        <v>#NAME?</v>
      </c>
      <c r="C892" s="3" t="s">
        <v>2043</v>
      </c>
      <c r="D892" s="3">
        <v>8</v>
      </c>
      <c r="E892" s="3" t="s">
        <v>2044</v>
      </c>
    </row>
    <row r="893" spans="1:5" ht="13" hidden="1" x14ac:dyDescent="0.15">
      <c r="A893" s="3" t="s">
        <v>353</v>
      </c>
      <c r="B893" s="3" t="e">
        <f t="array" aca="1" ref="B893" ca="1">_xludf.XLOOKUP(A893,duobahlul_videos!$A$1:$A$52,duobahlul_videos!$B$1:$B$52)</f>
        <v>#NAME?</v>
      </c>
      <c r="C893" s="3" t="s">
        <v>2045</v>
      </c>
      <c r="D893" s="3">
        <v>6</v>
      </c>
      <c r="E893" s="3" t="s">
        <v>2046</v>
      </c>
    </row>
    <row r="894" spans="1:5" ht="13" hidden="1" x14ac:dyDescent="0.15">
      <c r="A894" s="3" t="s">
        <v>353</v>
      </c>
      <c r="B894" s="3" t="e">
        <f t="array" aca="1" ref="B894" ca="1">_xludf.XLOOKUP(A894,duobahlul_videos!$A$1:$A$52,duobahlul_videos!$B$1:$B$52)</f>
        <v>#NAME?</v>
      </c>
      <c r="C894" s="3" t="s">
        <v>2047</v>
      </c>
      <c r="D894" s="3">
        <v>9</v>
      </c>
      <c r="E894" s="3" t="s">
        <v>2048</v>
      </c>
    </row>
    <row r="895" spans="1:5" ht="13" hidden="1" x14ac:dyDescent="0.15">
      <c r="A895" s="3" t="s">
        <v>353</v>
      </c>
      <c r="B895" s="3" t="e">
        <f t="array" aca="1" ref="B895" ca="1">_xludf.XLOOKUP(A895,duobahlul_videos!$A$1:$A$52,duobahlul_videos!$B$1:$B$52)</f>
        <v>#NAME?</v>
      </c>
      <c r="C895" s="3" t="s">
        <v>2049</v>
      </c>
      <c r="D895" s="3">
        <v>4</v>
      </c>
      <c r="E895" s="3" t="s">
        <v>2050</v>
      </c>
    </row>
    <row r="896" spans="1:5" ht="13" hidden="1" x14ac:dyDescent="0.15">
      <c r="A896" s="3" t="s">
        <v>353</v>
      </c>
      <c r="B896" s="3" t="e">
        <f t="array" aca="1" ref="B896" ca="1">_xludf.XLOOKUP(A896,duobahlul_videos!$A$1:$A$52,duobahlul_videos!$B$1:$B$52)</f>
        <v>#NAME?</v>
      </c>
      <c r="C896" s="3" t="s">
        <v>2051</v>
      </c>
      <c r="D896" s="3">
        <v>2</v>
      </c>
      <c r="E896" s="3" t="s">
        <v>2052</v>
      </c>
    </row>
    <row r="897" spans="1:5" ht="13" hidden="1" x14ac:dyDescent="0.15">
      <c r="A897" s="3" t="s">
        <v>353</v>
      </c>
      <c r="B897" s="3" t="e">
        <f t="array" aca="1" ref="B897" ca="1">_xludf.XLOOKUP(A897,duobahlul_videos!$A$1:$A$52,duobahlul_videos!$B$1:$B$52)</f>
        <v>#NAME?</v>
      </c>
      <c r="C897" s="3" t="s">
        <v>2053</v>
      </c>
      <c r="D897" s="3">
        <v>5</v>
      </c>
      <c r="E897" s="3" t="s">
        <v>2054</v>
      </c>
    </row>
    <row r="898" spans="1:5" ht="13" hidden="1" x14ac:dyDescent="0.15">
      <c r="A898" s="3" t="s">
        <v>353</v>
      </c>
      <c r="B898" s="3" t="e">
        <f t="array" aca="1" ref="B898" ca="1">_xludf.XLOOKUP(A898,duobahlul_videos!$A$1:$A$52,duobahlul_videos!$B$1:$B$52)</f>
        <v>#NAME?</v>
      </c>
      <c r="C898" s="3" t="s">
        <v>2055</v>
      </c>
      <c r="D898" s="3">
        <v>6</v>
      </c>
      <c r="E898" s="3" t="s">
        <v>2056</v>
      </c>
    </row>
    <row r="899" spans="1:5" ht="13" hidden="1" x14ac:dyDescent="0.15">
      <c r="A899" s="3" t="s">
        <v>353</v>
      </c>
      <c r="B899" s="3" t="e">
        <f t="array" aca="1" ref="B899" ca="1">_xludf.XLOOKUP(A899,duobahlul_videos!$A$1:$A$52,duobahlul_videos!$B$1:$B$52)</f>
        <v>#NAME?</v>
      </c>
      <c r="C899" s="3" t="s">
        <v>2057</v>
      </c>
      <c r="D899" s="3">
        <v>1</v>
      </c>
      <c r="E899" s="3" t="s">
        <v>2058</v>
      </c>
    </row>
    <row r="900" spans="1:5" ht="13" hidden="1" x14ac:dyDescent="0.15">
      <c r="A900" s="3" t="s">
        <v>353</v>
      </c>
      <c r="B900" s="3" t="e">
        <f t="array" aca="1" ref="B900" ca="1">_xludf.XLOOKUP(A900,duobahlul_videos!$A$1:$A$52,duobahlul_videos!$B$1:$B$52)</f>
        <v>#NAME?</v>
      </c>
      <c r="C900" s="3" t="s">
        <v>2059</v>
      </c>
      <c r="D900" s="3">
        <v>4</v>
      </c>
      <c r="E900" s="3" t="s">
        <v>2060</v>
      </c>
    </row>
    <row r="901" spans="1:5" ht="13" hidden="1" x14ac:dyDescent="0.15">
      <c r="A901" s="3" t="s">
        <v>353</v>
      </c>
      <c r="B901" s="3" t="e">
        <f t="array" aca="1" ref="B901" ca="1">_xludf.XLOOKUP(A901,duobahlul_videos!$A$1:$A$52,duobahlul_videos!$B$1:$B$52)</f>
        <v>#NAME?</v>
      </c>
      <c r="C901" s="3" t="s">
        <v>2061</v>
      </c>
      <c r="D901" s="3">
        <v>4</v>
      </c>
      <c r="E901" s="3" t="s">
        <v>2062</v>
      </c>
    </row>
    <row r="902" spans="1:5" ht="13" hidden="1" x14ac:dyDescent="0.15">
      <c r="A902" s="3" t="s">
        <v>353</v>
      </c>
      <c r="B902" s="3" t="e">
        <f t="array" aca="1" ref="B902" ca="1">_xludf.XLOOKUP(A902,duobahlul_videos!$A$1:$A$52,duobahlul_videos!$B$1:$B$52)</f>
        <v>#NAME?</v>
      </c>
      <c r="C902" s="3" t="s">
        <v>2063</v>
      </c>
      <c r="D902" s="3">
        <v>3</v>
      </c>
      <c r="E902" s="3" t="s">
        <v>2064</v>
      </c>
    </row>
    <row r="903" spans="1:5" ht="13" hidden="1" x14ac:dyDescent="0.15">
      <c r="A903" s="3" t="s">
        <v>353</v>
      </c>
      <c r="B903" s="3" t="e">
        <f t="array" aca="1" ref="B903" ca="1">_xludf.XLOOKUP(A903,duobahlul_videos!$A$1:$A$52,duobahlul_videos!$B$1:$B$52)</f>
        <v>#NAME?</v>
      </c>
      <c r="C903" s="3" t="s">
        <v>2065</v>
      </c>
      <c r="D903" s="3">
        <v>1</v>
      </c>
      <c r="E903" s="3" t="s">
        <v>2066</v>
      </c>
    </row>
    <row r="904" spans="1:5" ht="13" hidden="1" x14ac:dyDescent="0.15">
      <c r="A904" s="3" t="s">
        <v>353</v>
      </c>
      <c r="B904" s="3" t="e">
        <f t="array" aca="1" ref="B904" ca="1">_xludf.XLOOKUP(A904,duobahlul_videos!$A$1:$A$52,duobahlul_videos!$B$1:$B$52)</f>
        <v>#NAME?</v>
      </c>
      <c r="C904" s="3" t="s">
        <v>2067</v>
      </c>
      <c r="D904" s="3">
        <v>1</v>
      </c>
      <c r="E904" s="3" t="s">
        <v>2068</v>
      </c>
    </row>
    <row r="905" spans="1:5" ht="13" hidden="1" x14ac:dyDescent="0.15">
      <c r="A905" s="3" t="s">
        <v>353</v>
      </c>
      <c r="B905" s="3" t="e">
        <f t="array" aca="1" ref="B905" ca="1">_xludf.XLOOKUP(A905,duobahlul_videos!$A$1:$A$52,duobahlul_videos!$B$1:$B$52)</f>
        <v>#NAME?</v>
      </c>
      <c r="C905" s="3" t="s">
        <v>2069</v>
      </c>
      <c r="D905" s="3">
        <v>0</v>
      </c>
      <c r="E905" s="3" t="s">
        <v>2070</v>
      </c>
    </row>
    <row r="906" spans="1:5" ht="13" hidden="1" x14ac:dyDescent="0.15">
      <c r="A906" s="3" t="s">
        <v>353</v>
      </c>
      <c r="B906" s="3" t="e">
        <f t="array" aca="1" ref="B906" ca="1">_xludf.XLOOKUP(A906,duobahlul_videos!$A$1:$A$52,duobahlul_videos!$B$1:$B$52)</f>
        <v>#NAME?</v>
      </c>
      <c r="C906" s="3" t="s">
        <v>2071</v>
      </c>
      <c r="D906" s="3">
        <v>1</v>
      </c>
      <c r="E906" s="3" t="s">
        <v>2072</v>
      </c>
    </row>
    <row r="907" spans="1:5" ht="13" hidden="1" x14ac:dyDescent="0.15">
      <c r="A907" s="3" t="s">
        <v>353</v>
      </c>
      <c r="B907" s="3" t="e">
        <f t="array" aca="1" ref="B907" ca="1">_xludf.XLOOKUP(A907,duobahlul_videos!$A$1:$A$52,duobahlul_videos!$B$1:$B$52)</f>
        <v>#NAME?</v>
      </c>
      <c r="C907" s="3" t="s">
        <v>2073</v>
      </c>
      <c r="D907" s="3">
        <v>1</v>
      </c>
      <c r="E907" s="3" t="s">
        <v>2074</v>
      </c>
    </row>
    <row r="908" spans="1:5" ht="13" hidden="1" x14ac:dyDescent="0.15">
      <c r="A908" s="3" t="s">
        <v>331</v>
      </c>
      <c r="B908" s="3" t="e">
        <f t="array" aca="1" ref="B908" ca="1">_xludf.XLOOKUP(A908,duobahlul_videos!$A$1:$A$52,duobahlul_videos!$B$1:$B$52)</f>
        <v>#NAME?</v>
      </c>
      <c r="C908" s="3" t="s">
        <v>2075</v>
      </c>
      <c r="D908" s="3">
        <v>8</v>
      </c>
      <c r="E908" s="3" t="s">
        <v>2076</v>
      </c>
    </row>
    <row r="909" spans="1:5" ht="13" hidden="1" x14ac:dyDescent="0.15">
      <c r="A909" s="3" t="s">
        <v>331</v>
      </c>
      <c r="B909" s="3" t="e">
        <f t="array" aca="1" ref="B909" ca="1">_xludf.XLOOKUP(A909,duobahlul_videos!$A$1:$A$52,duobahlul_videos!$B$1:$B$52)</f>
        <v>#NAME?</v>
      </c>
      <c r="C909" s="3" t="s">
        <v>2077</v>
      </c>
      <c r="D909" s="3">
        <v>6</v>
      </c>
      <c r="E909" s="3" t="s">
        <v>2078</v>
      </c>
    </row>
    <row r="910" spans="1:5" ht="13" hidden="1" x14ac:dyDescent="0.15">
      <c r="A910" s="3" t="s">
        <v>331</v>
      </c>
      <c r="B910" s="3" t="e">
        <f t="array" aca="1" ref="B910" ca="1">_xludf.XLOOKUP(A910,duobahlul_videos!$A$1:$A$52,duobahlul_videos!$B$1:$B$52)</f>
        <v>#NAME?</v>
      </c>
      <c r="C910" s="3" t="s">
        <v>2079</v>
      </c>
      <c r="D910" s="3">
        <v>12</v>
      </c>
      <c r="E910" s="3" t="s">
        <v>2080</v>
      </c>
    </row>
    <row r="911" spans="1:5" ht="13" hidden="1" x14ac:dyDescent="0.15">
      <c r="A911" s="3" t="s">
        <v>331</v>
      </c>
      <c r="B911" s="3" t="e">
        <f t="array" aca="1" ref="B911" ca="1">_xludf.XLOOKUP(A911,duobahlul_videos!$A$1:$A$52,duobahlul_videos!$B$1:$B$52)</f>
        <v>#NAME?</v>
      </c>
      <c r="C911" s="3" t="s">
        <v>2081</v>
      </c>
      <c r="D911" s="3">
        <v>6</v>
      </c>
      <c r="E911" s="3" t="s">
        <v>2082</v>
      </c>
    </row>
    <row r="912" spans="1:5" ht="13" hidden="1" x14ac:dyDescent="0.15">
      <c r="A912" s="3" t="s">
        <v>331</v>
      </c>
      <c r="B912" s="3" t="e">
        <f t="array" aca="1" ref="B912" ca="1">_xludf.XLOOKUP(A912,duobahlul_videos!$A$1:$A$52,duobahlul_videos!$B$1:$B$52)</f>
        <v>#NAME?</v>
      </c>
      <c r="C912" s="3" t="s">
        <v>2083</v>
      </c>
      <c r="D912" s="3">
        <v>1</v>
      </c>
      <c r="E912" s="3" t="s">
        <v>2084</v>
      </c>
    </row>
    <row r="913" spans="1:5" ht="13" hidden="1" x14ac:dyDescent="0.15">
      <c r="A913" s="3" t="s">
        <v>331</v>
      </c>
      <c r="B913" s="3" t="e">
        <f t="array" aca="1" ref="B913" ca="1">_xludf.XLOOKUP(A913,duobahlul_videos!$A$1:$A$52,duobahlul_videos!$B$1:$B$52)</f>
        <v>#NAME?</v>
      </c>
      <c r="C913" s="3" t="s">
        <v>2085</v>
      </c>
      <c r="D913" s="3">
        <v>2</v>
      </c>
      <c r="E913" s="3" t="s">
        <v>2086</v>
      </c>
    </row>
    <row r="914" spans="1:5" ht="13" hidden="1" x14ac:dyDescent="0.15">
      <c r="A914" s="3" t="s">
        <v>331</v>
      </c>
      <c r="B914" s="3" t="e">
        <f t="array" aca="1" ref="B914" ca="1">_xludf.XLOOKUP(A914,duobahlul_videos!$A$1:$A$52,duobahlul_videos!$B$1:$B$52)</f>
        <v>#NAME?</v>
      </c>
      <c r="C914" s="3" t="s">
        <v>2087</v>
      </c>
      <c r="D914" s="3">
        <v>1</v>
      </c>
      <c r="E914" s="3" t="s">
        <v>2088</v>
      </c>
    </row>
    <row r="915" spans="1:5" ht="13" hidden="1" x14ac:dyDescent="0.15">
      <c r="A915" s="3" t="s">
        <v>331</v>
      </c>
      <c r="B915" s="3" t="e">
        <f t="array" aca="1" ref="B915" ca="1">_xludf.XLOOKUP(A915,duobahlul_videos!$A$1:$A$52,duobahlul_videos!$B$1:$B$52)</f>
        <v>#NAME?</v>
      </c>
      <c r="C915" s="3" t="s">
        <v>2089</v>
      </c>
      <c r="D915" s="3">
        <v>0</v>
      </c>
      <c r="E915" s="3" t="s">
        <v>2090</v>
      </c>
    </row>
    <row r="916" spans="1:5" ht="13" hidden="1" x14ac:dyDescent="0.15">
      <c r="A916" s="3" t="s">
        <v>331</v>
      </c>
      <c r="B916" s="3" t="e">
        <f t="array" aca="1" ref="B916" ca="1">_xludf.XLOOKUP(A916,duobahlul_videos!$A$1:$A$52,duobahlul_videos!$B$1:$B$52)</f>
        <v>#NAME?</v>
      </c>
      <c r="C916" s="3" t="s">
        <v>2091</v>
      </c>
      <c r="D916" s="3">
        <v>1</v>
      </c>
      <c r="E916" s="3" t="s">
        <v>2092</v>
      </c>
    </row>
    <row r="917" spans="1:5" ht="13" hidden="1" x14ac:dyDescent="0.15">
      <c r="A917" s="3" t="s">
        <v>331</v>
      </c>
      <c r="B917" s="3" t="e">
        <f t="array" aca="1" ref="B917" ca="1">_xludf.XLOOKUP(A917,duobahlul_videos!$A$1:$A$52,duobahlul_videos!$B$1:$B$52)</f>
        <v>#NAME?</v>
      </c>
      <c r="C917" s="3" t="s">
        <v>2093</v>
      </c>
      <c r="D917" s="3">
        <v>0</v>
      </c>
      <c r="E917" s="3" t="s">
        <v>2094</v>
      </c>
    </row>
    <row r="918" spans="1:5" ht="13" hidden="1" x14ac:dyDescent="0.15">
      <c r="A918" s="3" t="s">
        <v>331</v>
      </c>
      <c r="B918" s="3" t="e">
        <f t="array" aca="1" ref="B918" ca="1">_xludf.XLOOKUP(A918,duobahlul_videos!$A$1:$A$52,duobahlul_videos!$B$1:$B$52)</f>
        <v>#NAME?</v>
      </c>
      <c r="C918" s="3" t="s">
        <v>2095</v>
      </c>
      <c r="D918" s="3">
        <v>3</v>
      </c>
      <c r="E918" s="3" t="s">
        <v>2096</v>
      </c>
    </row>
    <row r="919" spans="1:5" ht="13" hidden="1" x14ac:dyDescent="0.15">
      <c r="A919" s="3" t="s">
        <v>331</v>
      </c>
      <c r="B919" s="3" t="e">
        <f t="array" aca="1" ref="B919" ca="1">_xludf.XLOOKUP(A919,duobahlul_videos!$A$1:$A$52,duobahlul_videos!$B$1:$B$52)</f>
        <v>#NAME?</v>
      </c>
      <c r="C919" s="3" t="s">
        <v>2097</v>
      </c>
      <c r="D919" s="3">
        <v>1</v>
      </c>
      <c r="E919" s="3" t="s">
        <v>2098</v>
      </c>
    </row>
    <row r="920" spans="1:5" ht="13" hidden="1" x14ac:dyDescent="0.15">
      <c r="A920" s="3" t="s">
        <v>331</v>
      </c>
      <c r="B920" s="3" t="e">
        <f t="array" aca="1" ref="B920" ca="1">_xludf.XLOOKUP(A920,duobahlul_videos!$A$1:$A$52,duobahlul_videos!$B$1:$B$52)</f>
        <v>#NAME?</v>
      </c>
      <c r="C920" s="3" t="s">
        <v>2099</v>
      </c>
      <c r="D920" s="3">
        <v>0</v>
      </c>
      <c r="E920" s="3" t="s">
        <v>2100</v>
      </c>
    </row>
    <row r="921" spans="1:5" ht="13" hidden="1" x14ac:dyDescent="0.15">
      <c r="A921" s="3" t="s">
        <v>331</v>
      </c>
      <c r="B921" s="3" t="e">
        <f t="array" aca="1" ref="B921" ca="1">_xludf.XLOOKUP(A921,duobahlul_videos!$A$1:$A$52,duobahlul_videos!$B$1:$B$52)</f>
        <v>#NAME?</v>
      </c>
      <c r="C921" s="3" t="s">
        <v>2101</v>
      </c>
      <c r="D921" s="3">
        <v>0</v>
      </c>
      <c r="E921" s="3" t="s">
        <v>2102</v>
      </c>
    </row>
    <row r="922" spans="1:5" ht="13" hidden="1" x14ac:dyDescent="0.15">
      <c r="A922" s="3" t="s">
        <v>331</v>
      </c>
      <c r="B922" s="3" t="e">
        <f t="array" aca="1" ref="B922" ca="1">_xludf.XLOOKUP(A922,duobahlul_videos!$A$1:$A$52,duobahlul_videos!$B$1:$B$52)</f>
        <v>#NAME?</v>
      </c>
      <c r="C922" s="3" t="s">
        <v>2103</v>
      </c>
      <c r="D922" s="3">
        <v>0</v>
      </c>
      <c r="E922" s="3" t="s">
        <v>2104</v>
      </c>
    </row>
    <row r="923" spans="1:5" ht="13" hidden="1" x14ac:dyDescent="0.15">
      <c r="A923" s="3" t="s">
        <v>331</v>
      </c>
      <c r="B923" s="3" t="e">
        <f t="array" aca="1" ref="B923" ca="1">_xludf.XLOOKUP(A923,duobahlul_videos!$A$1:$A$52,duobahlul_videos!$B$1:$B$52)</f>
        <v>#NAME?</v>
      </c>
      <c r="C923" s="3" t="s">
        <v>2105</v>
      </c>
      <c r="D923" s="3">
        <v>1</v>
      </c>
      <c r="E923" s="3" t="s">
        <v>2106</v>
      </c>
    </row>
    <row r="924" spans="1:5" ht="13" hidden="1" x14ac:dyDescent="0.15">
      <c r="A924" s="3" t="s">
        <v>331</v>
      </c>
      <c r="B924" s="3" t="e">
        <f t="array" aca="1" ref="B924" ca="1">_xludf.XLOOKUP(A924,duobahlul_videos!$A$1:$A$52,duobahlul_videos!$B$1:$B$52)</f>
        <v>#NAME?</v>
      </c>
      <c r="C924" s="3" t="s">
        <v>2107</v>
      </c>
      <c r="D924" s="3">
        <v>0</v>
      </c>
      <c r="E924" s="3" t="s">
        <v>2108</v>
      </c>
    </row>
    <row r="925" spans="1:5" ht="13" hidden="1" x14ac:dyDescent="0.15">
      <c r="A925" s="3" t="s">
        <v>137</v>
      </c>
      <c r="B925" s="3" t="e">
        <f t="array" aca="1" ref="B925" ca="1">_xludf.XLOOKUP(A925,duobahlul_videos!$A$1:$A$52,duobahlul_videos!$B$1:$B$52)</f>
        <v>#NAME?</v>
      </c>
      <c r="C925" s="3" t="s">
        <v>2109</v>
      </c>
      <c r="D925" s="3">
        <v>160</v>
      </c>
      <c r="E925" s="3" t="s">
        <v>2110</v>
      </c>
    </row>
    <row r="926" spans="1:5" ht="13" hidden="1" x14ac:dyDescent="0.15">
      <c r="A926" s="3" t="s">
        <v>137</v>
      </c>
      <c r="B926" s="3" t="e">
        <f t="array" aca="1" ref="B926" ca="1">_xludf.XLOOKUP(A926,duobahlul_videos!$A$1:$A$52,duobahlul_videos!$B$1:$B$52)</f>
        <v>#NAME?</v>
      </c>
      <c r="C926" s="3" t="s">
        <v>2111</v>
      </c>
      <c r="D926" s="3">
        <v>210</v>
      </c>
      <c r="E926" s="3" t="s">
        <v>2112</v>
      </c>
    </row>
    <row r="927" spans="1:5" ht="13" hidden="1" x14ac:dyDescent="0.15">
      <c r="A927" s="3" t="s">
        <v>137</v>
      </c>
      <c r="B927" s="3" t="e">
        <f t="array" aca="1" ref="B927" ca="1">_xludf.XLOOKUP(A927,duobahlul_videos!$A$1:$A$52,duobahlul_videos!$B$1:$B$52)</f>
        <v>#NAME?</v>
      </c>
      <c r="C927" s="3" t="s">
        <v>2113</v>
      </c>
      <c r="D927" s="3">
        <v>19</v>
      </c>
      <c r="E927" s="3" t="s">
        <v>2114</v>
      </c>
    </row>
    <row r="928" spans="1:5" ht="13" hidden="1" x14ac:dyDescent="0.15">
      <c r="A928" s="3" t="s">
        <v>137</v>
      </c>
      <c r="B928" s="3" t="e">
        <f t="array" aca="1" ref="B928" ca="1">_xludf.XLOOKUP(A928,duobahlul_videos!$A$1:$A$52,duobahlul_videos!$B$1:$B$52)</f>
        <v>#NAME?</v>
      </c>
      <c r="C928" s="3" t="s">
        <v>2115</v>
      </c>
      <c r="D928" s="3">
        <v>63</v>
      </c>
      <c r="E928" s="3" t="s">
        <v>2116</v>
      </c>
    </row>
    <row r="929" spans="1:5" ht="13" hidden="1" x14ac:dyDescent="0.15">
      <c r="A929" s="3" t="s">
        <v>137</v>
      </c>
      <c r="B929" s="3" t="e">
        <f t="array" aca="1" ref="B929" ca="1">_xludf.XLOOKUP(A929,duobahlul_videos!$A$1:$A$52,duobahlul_videos!$B$1:$B$52)</f>
        <v>#NAME?</v>
      </c>
      <c r="C929" s="3" t="s">
        <v>2117</v>
      </c>
      <c r="D929" s="3">
        <v>41</v>
      </c>
      <c r="E929" s="3" t="s">
        <v>2118</v>
      </c>
    </row>
    <row r="930" spans="1:5" ht="13" hidden="1" x14ac:dyDescent="0.15">
      <c r="A930" s="3" t="s">
        <v>137</v>
      </c>
      <c r="B930" s="3" t="e">
        <f t="array" aca="1" ref="B930" ca="1">_xludf.XLOOKUP(A930,duobahlul_videos!$A$1:$A$52,duobahlul_videos!$B$1:$B$52)</f>
        <v>#NAME?</v>
      </c>
      <c r="C930" s="3" t="s">
        <v>2119</v>
      </c>
      <c r="D930" s="3">
        <v>66</v>
      </c>
      <c r="E930" s="3" t="s">
        <v>2120</v>
      </c>
    </row>
    <row r="931" spans="1:5" ht="13" hidden="1" x14ac:dyDescent="0.15">
      <c r="A931" s="3" t="s">
        <v>137</v>
      </c>
      <c r="B931" s="3" t="e">
        <f t="array" aca="1" ref="B931" ca="1">_xludf.XLOOKUP(A931,duobahlul_videos!$A$1:$A$52,duobahlul_videos!$B$1:$B$52)</f>
        <v>#NAME?</v>
      </c>
      <c r="C931" s="3" t="s">
        <v>2121</v>
      </c>
      <c r="D931" s="3">
        <v>21</v>
      </c>
      <c r="E931" s="3" t="s">
        <v>2122</v>
      </c>
    </row>
    <row r="932" spans="1:5" ht="13" hidden="1" x14ac:dyDescent="0.15">
      <c r="A932" s="3" t="s">
        <v>137</v>
      </c>
      <c r="B932" s="3" t="e">
        <f t="array" aca="1" ref="B932" ca="1">_xludf.XLOOKUP(A932,duobahlul_videos!$A$1:$A$52,duobahlul_videos!$B$1:$B$52)</f>
        <v>#NAME?</v>
      </c>
      <c r="C932" s="3" t="s">
        <v>2123</v>
      </c>
      <c r="D932" s="3">
        <v>14</v>
      </c>
      <c r="E932" s="3" t="s">
        <v>2124</v>
      </c>
    </row>
    <row r="933" spans="1:5" ht="13" hidden="1" x14ac:dyDescent="0.15">
      <c r="A933" s="3" t="s">
        <v>137</v>
      </c>
      <c r="B933" s="3" t="e">
        <f t="array" aca="1" ref="B933" ca="1">_xludf.XLOOKUP(A933,duobahlul_videos!$A$1:$A$52,duobahlul_videos!$B$1:$B$52)</f>
        <v>#NAME?</v>
      </c>
      <c r="C933" s="3" t="s">
        <v>2125</v>
      </c>
      <c r="D933" s="3">
        <v>37</v>
      </c>
      <c r="E933" s="3" t="s">
        <v>2126</v>
      </c>
    </row>
    <row r="934" spans="1:5" ht="13" hidden="1" x14ac:dyDescent="0.15">
      <c r="A934" s="3" t="s">
        <v>137</v>
      </c>
      <c r="B934" s="3" t="e">
        <f t="array" aca="1" ref="B934" ca="1">_xludf.XLOOKUP(A934,duobahlul_videos!$A$1:$A$52,duobahlul_videos!$B$1:$B$52)</f>
        <v>#NAME?</v>
      </c>
      <c r="C934" s="3" t="s">
        <v>2127</v>
      </c>
      <c r="D934" s="3">
        <v>7</v>
      </c>
      <c r="E934" s="3" t="s">
        <v>2128</v>
      </c>
    </row>
    <row r="935" spans="1:5" ht="13" hidden="1" x14ac:dyDescent="0.15">
      <c r="A935" s="3" t="s">
        <v>137</v>
      </c>
      <c r="B935" s="3" t="e">
        <f t="array" aca="1" ref="B935" ca="1">_xludf.XLOOKUP(A935,duobahlul_videos!$A$1:$A$52,duobahlul_videos!$B$1:$B$52)</f>
        <v>#NAME?</v>
      </c>
      <c r="C935" s="3" t="s">
        <v>2129</v>
      </c>
      <c r="D935" s="3">
        <v>13</v>
      </c>
      <c r="E935" s="3" t="s">
        <v>2130</v>
      </c>
    </row>
    <row r="936" spans="1:5" ht="13" hidden="1" x14ac:dyDescent="0.15">
      <c r="A936" s="3" t="s">
        <v>137</v>
      </c>
      <c r="B936" s="3" t="e">
        <f t="array" aca="1" ref="B936" ca="1">_xludf.XLOOKUP(A936,duobahlul_videos!$A$1:$A$52,duobahlul_videos!$B$1:$B$52)</f>
        <v>#NAME?</v>
      </c>
      <c r="C936" s="3" t="s">
        <v>2131</v>
      </c>
      <c r="D936" s="3">
        <v>3</v>
      </c>
      <c r="E936" s="3" t="s">
        <v>2132</v>
      </c>
    </row>
    <row r="937" spans="1:5" ht="13" hidden="1" x14ac:dyDescent="0.15">
      <c r="A937" s="3" t="s">
        <v>137</v>
      </c>
      <c r="B937" s="3" t="e">
        <f t="array" aca="1" ref="B937" ca="1">_xludf.XLOOKUP(A937,duobahlul_videos!$A$1:$A$52,duobahlul_videos!$B$1:$B$52)</f>
        <v>#NAME?</v>
      </c>
      <c r="C937" s="3" t="s">
        <v>2133</v>
      </c>
      <c r="D937" s="3">
        <v>6</v>
      </c>
      <c r="E937" s="3" t="s">
        <v>2134</v>
      </c>
    </row>
    <row r="938" spans="1:5" ht="13" hidden="1" x14ac:dyDescent="0.15">
      <c r="A938" s="3" t="s">
        <v>137</v>
      </c>
      <c r="B938" s="3" t="e">
        <f t="array" aca="1" ref="B938" ca="1">_xludf.XLOOKUP(A938,duobahlul_videos!$A$1:$A$52,duobahlul_videos!$B$1:$B$52)</f>
        <v>#NAME?</v>
      </c>
      <c r="C938" s="3" t="s">
        <v>2135</v>
      </c>
      <c r="D938" s="3">
        <v>5</v>
      </c>
      <c r="E938" s="3" t="s">
        <v>2136</v>
      </c>
    </row>
    <row r="939" spans="1:5" ht="13" hidden="1" x14ac:dyDescent="0.15">
      <c r="A939" s="3" t="s">
        <v>137</v>
      </c>
      <c r="B939" s="3" t="e">
        <f t="array" aca="1" ref="B939" ca="1">_xludf.XLOOKUP(A939,duobahlul_videos!$A$1:$A$52,duobahlul_videos!$B$1:$B$52)</f>
        <v>#NAME?</v>
      </c>
      <c r="C939" s="3" t="s">
        <v>2137</v>
      </c>
      <c r="D939" s="3">
        <v>27</v>
      </c>
      <c r="E939" s="3" t="s">
        <v>2138</v>
      </c>
    </row>
    <row r="940" spans="1:5" ht="13" hidden="1" x14ac:dyDescent="0.15">
      <c r="A940" s="3" t="s">
        <v>137</v>
      </c>
      <c r="B940" s="3" t="e">
        <f t="array" aca="1" ref="B940" ca="1">_xludf.XLOOKUP(A940,duobahlul_videos!$A$1:$A$52,duobahlul_videos!$B$1:$B$52)</f>
        <v>#NAME?</v>
      </c>
      <c r="C940" s="3" t="s">
        <v>2139</v>
      </c>
      <c r="D940" s="3">
        <v>14</v>
      </c>
      <c r="E940" s="3" t="s">
        <v>2140</v>
      </c>
    </row>
    <row r="941" spans="1:5" ht="13" hidden="1" x14ac:dyDescent="0.15">
      <c r="A941" s="3" t="s">
        <v>137</v>
      </c>
      <c r="B941" s="3" t="e">
        <f t="array" aca="1" ref="B941" ca="1">_xludf.XLOOKUP(A941,duobahlul_videos!$A$1:$A$52,duobahlul_videos!$B$1:$B$52)</f>
        <v>#NAME?</v>
      </c>
      <c r="C941" s="3" t="s">
        <v>2141</v>
      </c>
      <c r="D941" s="3">
        <v>14</v>
      </c>
      <c r="E941" s="3" t="s">
        <v>2142</v>
      </c>
    </row>
    <row r="942" spans="1:5" ht="13" hidden="1" x14ac:dyDescent="0.15">
      <c r="A942" s="3" t="s">
        <v>137</v>
      </c>
      <c r="B942" s="3" t="e">
        <f t="array" aca="1" ref="B942" ca="1">_xludf.XLOOKUP(A942,duobahlul_videos!$A$1:$A$52,duobahlul_videos!$B$1:$B$52)</f>
        <v>#NAME?</v>
      </c>
      <c r="C942" s="3" t="s">
        <v>2143</v>
      </c>
      <c r="D942" s="3">
        <v>7</v>
      </c>
      <c r="E942" s="3" t="s">
        <v>2144</v>
      </c>
    </row>
    <row r="943" spans="1:5" ht="13" hidden="1" x14ac:dyDescent="0.15">
      <c r="A943" s="3" t="s">
        <v>137</v>
      </c>
      <c r="B943" s="3" t="e">
        <f t="array" aca="1" ref="B943" ca="1">_xludf.XLOOKUP(A943,duobahlul_videos!$A$1:$A$52,duobahlul_videos!$B$1:$B$52)</f>
        <v>#NAME?</v>
      </c>
      <c r="C943" s="3" t="s">
        <v>2145</v>
      </c>
      <c r="D943" s="3">
        <v>8</v>
      </c>
      <c r="E943" s="3" t="s">
        <v>2146</v>
      </c>
    </row>
    <row r="944" spans="1:5" ht="13" hidden="1" x14ac:dyDescent="0.15">
      <c r="A944" s="3" t="s">
        <v>137</v>
      </c>
      <c r="B944" s="3" t="e">
        <f t="array" aca="1" ref="B944" ca="1">_xludf.XLOOKUP(A944,duobahlul_videos!$A$1:$A$52,duobahlul_videos!$B$1:$B$52)</f>
        <v>#NAME?</v>
      </c>
      <c r="C944" s="3" t="s">
        <v>2147</v>
      </c>
      <c r="D944" s="3">
        <v>12</v>
      </c>
      <c r="E944" s="3" t="s">
        <v>2148</v>
      </c>
    </row>
    <row r="945" spans="1:5" ht="13" hidden="1" x14ac:dyDescent="0.15">
      <c r="A945" s="3" t="s">
        <v>181</v>
      </c>
      <c r="B945" s="3" t="e">
        <f t="array" aca="1" ref="B945" ca="1">_xludf.XLOOKUP(A945,duobahlul_videos!$A$1:$A$52,duobahlul_videos!$B$1:$B$52)</f>
        <v>#NAME?</v>
      </c>
      <c r="C945" s="3" t="s">
        <v>2149</v>
      </c>
      <c r="D945" s="3">
        <v>44</v>
      </c>
      <c r="E945" s="3" t="s">
        <v>2150</v>
      </c>
    </row>
    <row r="946" spans="1:5" ht="13" hidden="1" x14ac:dyDescent="0.15">
      <c r="A946" s="3" t="s">
        <v>181</v>
      </c>
      <c r="B946" s="3" t="e">
        <f t="array" aca="1" ref="B946" ca="1">_xludf.XLOOKUP(A946,duobahlul_videos!$A$1:$A$52,duobahlul_videos!$B$1:$B$52)</f>
        <v>#NAME?</v>
      </c>
      <c r="C946" s="3" t="s">
        <v>2151</v>
      </c>
      <c r="D946" s="3">
        <v>122</v>
      </c>
      <c r="E946" s="3" t="s">
        <v>2152</v>
      </c>
    </row>
    <row r="947" spans="1:5" ht="13" hidden="1" x14ac:dyDescent="0.15">
      <c r="A947" s="3" t="s">
        <v>181</v>
      </c>
      <c r="B947" s="3" t="e">
        <f t="array" aca="1" ref="B947" ca="1">_xludf.XLOOKUP(A947,duobahlul_videos!$A$1:$A$52,duobahlul_videos!$B$1:$B$52)</f>
        <v>#NAME?</v>
      </c>
      <c r="C947" s="3" t="s">
        <v>2153</v>
      </c>
      <c r="D947" s="3">
        <v>11</v>
      </c>
      <c r="E947" s="3" t="s">
        <v>2154</v>
      </c>
    </row>
    <row r="948" spans="1:5" ht="13" hidden="1" x14ac:dyDescent="0.15">
      <c r="A948" s="3" t="s">
        <v>181</v>
      </c>
      <c r="B948" s="3" t="e">
        <f t="array" aca="1" ref="B948" ca="1">_xludf.XLOOKUP(A948,duobahlul_videos!$A$1:$A$52,duobahlul_videos!$B$1:$B$52)</f>
        <v>#NAME?</v>
      </c>
      <c r="C948" s="3" t="s">
        <v>2155</v>
      </c>
      <c r="D948" s="3">
        <v>16</v>
      </c>
      <c r="E948" s="3" t="s">
        <v>2156</v>
      </c>
    </row>
    <row r="949" spans="1:5" ht="13" hidden="1" x14ac:dyDescent="0.15">
      <c r="A949" s="3" t="s">
        <v>181</v>
      </c>
      <c r="B949" s="3" t="e">
        <f t="array" aca="1" ref="B949" ca="1">_xludf.XLOOKUP(A949,duobahlul_videos!$A$1:$A$52,duobahlul_videos!$B$1:$B$52)</f>
        <v>#NAME?</v>
      </c>
      <c r="C949" s="3" t="s">
        <v>2157</v>
      </c>
      <c r="D949" s="3">
        <v>10</v>
      </c>
      <c r="E949" s="3" t="s">
        <v>2158</v>
      </c>
    </row>
    <row r="950" spans="1:5" ht="13" hidden="1" x14ac:dyDescent="0.15">
      <c r="A950" s="3" t="s">
        <v>181</v>
      </c>
      <c r="B950" s="3" t="e">
        <f t="array" aca="1" ref="B950" ca="1">_xludf.XLOOKUP(A950,duobahlul_videos!$A$1:$A$52,duobahlul_videos!$B$1:$B$52)</f>
        <v>#NAME?</v>
      </c>
      <c r="C950" s="3" t="s">
        <v>2159</v>
      </c>
      <c r="D950" s="3">
        <v>10</v>
      </c>
      <c r="E950" s="3" t="s">
        <v>2160</v>
      </c>
    </row>
    <row r="951" spans="1:5" ht="13" hidden="1" x14ac:dyDescent="0.15">
      <c r="A951" s="3" t="s">
        <v>181</v>
      </c>
      <c r="B951" s="3" t="e">
        <f t="array" aca="1" ref="B951" ca="1">_xludf.XLOOKUP(A951,duobahlul_videos!$A$1:$A$52,duobahlul_videos!$B$1:$B$52)</f>
        <v>#NAME?</v>
      </c>
      <c r="C951" s="3" t="s">
        <v>2161</v>
      </c>
      <c r="D951" s="3">
        <v>15</v>
      </c>
      <c r="E951" s="3" t="s">
        <v>2162</v>
      </c>
    </row>
    <row r="952" spans="1:5" ht="13" hidden="1" x14ac:dyDescent="0.15">
      <c r="A952" s="3" t="s">
        <v>181</v>
      </c>
      <c r="B952" s="3" t="e">
        <f t="array" aca="1" ref="B952" ca="1">_xludf.XLOOKUP(A952,duobahlul_videos!$A$1:$A$52,duobahlul_videos!$B$1:$B$52)</f>
        <v>#NAME?</v>
      </c>
      <c r="C952" s="3" t="s">
        <v>2163</v>
      </c>
      <c r="D952" s="3">
        <v>7</v>
      </c>
      <c r="E952" s="3" t="s">
        <v>2164</v>
      </c>
    </row>
    <row r="953" spans="1:5" ht="13" hidden="1" x14ac:dyDescent="0.15">
      <c r="A953" s="3" t="s">
        <v>181</v>
      </c>
      <c r="B953" s="3" t="e">
        <f t="array" aca="1" ref="B953" ca="1">_xludf.XLOOKUP(A953,duobahlul_videos!$A$1:$A$52,duobahlul_videos!$B$1:$B$52)</f>
        <v>#NAME?</v>
      </c>
      <c r="C953" s="3" t="s">
        <v>2165</v>
      </c>
      <c r="D953" s="3">
        <v>27</v>
      </c>
      <c r="E953" s="3" t="s">
        <v>2166</v>
      </c>
    </row>
    <row r="954" spans="1:5" ht="13" hidden="1" x14ac:dyDescent="0.15">
      <c r="A954" s="3" t="s">
        <v>181</v>
      </c>
      <c r="B954" s="3" t="e">
        <f t="array" aca="1" ref="B954" ca="1">_xludf.XLOOKUP(A954,duobahlul_videos!$A$1:$A$52,duobahlul_videos!$B$1:$B$52)</f>
        <v>#NAME?</v>
      </c>
      <c r="C954" s="3" t="s">
        <v>2167</v>
      </c>
      <c r="D954" s="3">
        <v>5</v>
      </c>
      <c r="E954" s="3" t="s">
        <v>2168</v>
      </c>
    </row>
    <row r="955" spans="1:5" ht="13" hidden="1" x14ac:dyDescent="0.15">
      <c r="A955" s="3" t="s">
        <v>181</v>
      </c>
      <c r="B955" s="3" t="e">
        <f t="array" aca="1" ref="B955" ca="1">_xludf.XLOOKUP(A955,duobahlul_videos!$A$1:$A$52,duobahlul_videos!$B$1:$B$52)</f>
        <v>#NAME?</v>
      </c>
      <c r="C955" s="3" t="s">
        <v>2169</v>
      </c>
      <c r="D955" s="3">
        <v>22</v>
      </c>
      <c r="E955" s="3" t="s">
        <v>2170</v>
      </c>
    </row>
    <row r="956" spans="1:5" ht="13" hidden="1" x14ac:dyDescent="0.15">
      <c r="A956" s="3" t="s">
        <v>181</v>
      </c>
      <c r="B956" s="3" t="e">
        <f t="array" aca="1" ref="B956" ca="1">_xludf.XLOOKUP(A956,duobahlul_videos!$A$1:$A$52,duobahlul_videos!$B$1:$B$52)</f>
        <v>#NAME?</v>
      </c>
      <c r="C956" s="3" t="s">
        <v>2171</v>
      </c>
      <c r="D956" s="3">
        <v>10</v>
      </c>
      <c r="E956" s="3" t="s">
        <v>2172</v>
      </c>
    </row>
    <row r="957" spans="1:5" ht="13" hidden="1" x14ac:dyDescent="0.15">
      <c r="A957" s="3" t="s">
        <v>181</v>
      </c>
      <c r="B957" s="3" t="e">
        <f t="array" aca="1" ref="B957" ca="1">_xludf.XLOOKUP(A957,duobahlul_videos!$A$1:$A$52,duobahlul_videos!$B$1:$B$52)</f>
        <v>#NAME?</v>
      </c>
      <c r="C957" s="3" t="s">
        <v>2173</v>
      </c>
      <c r="D957" s="3">
        <v>1</v>
      </c>
      <c r="E957" s="3" t="s">
        <v>2174</v>
      </c>
    </row>
    <row r="958" spans="1:5" ht="13" hidden="1" x14ac:dyDescent="0.15">
      <c r="A958" s="3" t="s">
        <v>181</v>
      </c>
      <c r="B958" s="3" t="e">
        <f t="array" aca="1" ref="B958" ca="1">_xludf.XLOOKUP(A958,duobahlul_videos!$A$1:$A$52,duobahlul_videos!$B$1:$B$52)</f>
        <v>#NAME?</v>
      </c>
      <c r="C958" s="3" t="s">
        <v>2175</v>
      </c>
      <c r="D958" s="3">
        <v>4</v>
      </c>
      <c r="E958" s="3" t="s">
        <v>2176</v>
      </c>
    </row>
    <row r="959" spans="1:5" ht="13" hidden="1" x14ac:dyDescent="0.15">
      <c r="A959" s="3" t="s">
        <v>181</v>
      </c>
      <c r="B959" s="3" t="e">
        <f t="array" aca="1" ref="B959" ca="1">_xludf.XLOOKUP(A959,duobahlul_videos!$A$1:$A$52,duobahlul_videos!$B$1:$B$52)</f>
        <v>#NAME?</v>
      </c>
      <c r="C959" s="3" t="s">
        <v>2177</v>
      </c>
      <c r="D959" s="3">
        <v>1</v>
      </c>
      <c r="E959" s="3" t="s">
        <v>2178</v>
      </c>
    </row>
    <row r="960" spans="1:5" ht="13" hidden="1" x14ac:dyDescent="0.15">
      <c r="A960" s="3" t="s">
        <v>181</v>
      </c>
      <c r="B960" s="3" t="e">
        <f t="array" aca="1" ref="B960" ca="1">_xludf.XLOOKUP(A960,duobahlul_videos!$A$1:$A$52,duobahlul_videos!$B$1:$B$52)</f>
        <v>#NAME?</v>
      </c>
      <c r="C960" s="3" t="s">
        <v>2179</v>
      </c>
      <c r="D960" s="3">
        <v>3</v>
      </c>
      <c r="E960" s="3" t="s">
        <v>2180</v>
      </c>
    </row>
    <row r="961" spans="1:5" ht="13" hidden="1" x14ac:dyDescent="0.15">
      <c r="A961" s="3" t="s">
        <v>181</v>
      </c>
      <c r="B961" s="3" t="e">
        <f t="array" aca="1" ref="B961" ca="1">_xludf.XLOOKUP(A961,duobahlul_videos!$A$1:$A$52,duobahlul_videos!$B$1:$B$52)</f>
        <v>#NAME?</v>
      </c>
      <c r="C961" s="3" t="s">
        <v>2181</v>
      </c>
      <c r="D961" s="3">
        <v>1</v>
      </c>
      <c r="E961" s="3" t="s">
        <v>2182</v>
      </c>
    </row>
    <row r="962" spans="1:5" ht="13" hidden="1" x14ac:dyDescent="0.15">
      <c r="A962" s="3" t="s">
        <v>181</v>
      </c>
      <c r="B962" s="3" t="e">
        <f t="array" aca="1" ref="B962" ca="1">_xludf.XLOOKUP(A962,duobahlul_videos!$A$1:$A$52,duobahlul_videos!$B$1:$B$52)</f>
        <v>#NAME?</v>
      </c>
      <c r="C962" s="3" t="s">
        <v>2183</v>
      </c>
      <c r="D962" s="3">
        <v>13</v>
      </c>
      <c r="E962" s="3" t="s">
        <v>2184</v>
      </c>
    </row>
    <row r="963" spans="1:5" ht="13" hidden="1" x14ac:dyDescent="0.15">
      <c r="A963" s="3" t="s">
        <v>181</v>
      </c>
      <c r="B963" s="3" t="e">
        <f t="array" aca="1" ref="B963" ca="1">_xludf.XLOOKUP(A963,duobahlul_videos!$A$1:$A$52,duobahlul_videos!$B$1:$B$52)</f>
        <v>#NAME?</v>
      </c>
      <c r="C963" s="3" t="s">
        <v>2185</v>
      </c>
      <c r="D963" s="3">
        <v>3</v>
      </c>
      <c r="E963" s="3" t="s">
        <v>2186</v>
      </c>
    </row>
    <row r="964" spans="1:5" ht="13" hidden="1" x14ac:dyDescent="0.15">
      <c r="A964" s="3" t="s">
        <v>181</v>
      </c>
      <c r="B964" s="3" t="e">
        <f t="array" aca="1" ref="B964" ca="1">_xludf.XLOOKUP(A964,duobahlul_videos!$A$1:$A$52,duobahlul_videos!$B$1:$B$52)</f>
        <v>#NAME?</v>
      </c>
      <c r="C964" s="3" t="s">
        <v>2187</v>
      </c>
      <c r="D964" s="3">
        <v>3</v>
      </c>
      <c r="E964" s="3" t="s">
        <v>2188</v>
      </c>
    </row>
    <row r="965" spans="1:5" ht="13" hidden="1" x14ac:dyDescent="0.15">
      <c r="A965" s="3" t="s">
        <v>265</v>
      </c>
      <c r="B965" s="3" t="e">
        <f t="array" aca="1" ref="B965" ca="1">_xludf.XLOOKUP(A965,duobahlul_videos!$A$1:$A$52,duobahlul_videos!$B$1:$B$52)</f>
        <v>#NAME?</v>
      </c>
      <c r="C965" s="3" t="s">
        <v>2189</v>
      </c>
      <c r="D965" s="3">
        <v>24</v>
      </c>
      <c r="E965" s="3" t="s">
        <v>2190</v>
      </c>
    </row>
    <row r="966" spans="1:5" ht="13" hidden="1" x14ac:dyDescent="0.15">
      <c r="A966" s="3" t="s">
        <v>265</v>
      </c>
      <c r="B966" s="3" t="e">
        <f t="array" aca="1" ref="B966" ca="1">_xludf.XLOOKUP(A966,duobahlul_videos!$A$1:$A$52,duobahlul_videos!$B$1:$B$52)</f>
        <v>#NAME?</v>
      </c>
      <c r="C966" s="3" t="s">
        <v>2191</v>
      </c>
      <c r="D966" s="3">
        <v>84</v>
      </c>
      <c r="E966" s="3" t="s">
        <v>2192</v>
      </c>
    </row>
    <row r="967" spans="1:5" ht="13" hidden="1" x14ac:dyDescent="0.15">
      <c r="A967" s="3" t="s">
        <v>265</v>
      </c>
      <c r="B967" s="3" t="e">
        <f t="array" aca="1" ref="B967" ca="1">_xludf.XLOOKUP(A967,duobahlul_videos!$A$1:$A$52,duobahlul_videos!$B$1:$B$52)</f>
        <v>#NAME?</v>
      </c>
      <c r="C967" s="3" t="s">
        <v>2193</v>
      </c>
      <c r="D967" s="3">
        <v>17</v>
      </c>
      <c r="E967" s="3" t="s">
        <v>2194</v>
      </c>
    </row>
    <row r="968" spans="1:5" ht="13" hidden="1" x14ac:dyDescent="0.15">
      <c r="A968" s="3" t="s">
        <v>265</v>
      </c>
      <c r="B968" s="3" t="e">
        <f t="array" aca="1" ref="B968" ca="1">_xludf.XLOOKUP(A968,duobahlul_videos!$A$1:$A$52,duobahlul_videos!$B$1:$B$52)</f>
        <v>#NAME?</v>
      </c>
      <c r="C968" s="3" t="s">
        <v>2195</v>
      </c>
      <c r="D968" s="3">
        <v>6</v>
      </c>
      <c r="E968" s="3" t="s">
        <v>2196</v>
      </c>
    </row>
    <row r="969" spans="1:5" ht="13" hidden="1" x14ac:dyDescent="0.15">
      <c r="A969" s="3" t="s">
        <v>265</v>
      </c>
      <c r="B969" s="3" t="e">
        <f t="array" aca="1" ref="B969" ca="1">_xludf.XLOOKUP(A969,duobahlul_videos!$A$1:$A$52,duobahlul_videos!$B$1:$B$52)</f>
        <v>#NAME?</v>
      </c>
      <c r="C969" s="3" t="s">
        <v>2197</v>
      </c>
      <c r="D969" s="3">
        <v>20</v>
      </c>
      <c r="E969" s="3" t="s">
        <v>2198</v>
      </c>
    </row>
    <row r="970" spans="1:5" ht="13" hidden="1" x14ac:dyDescent="0.15">
      <c r="A970" s="3" t="s">
        <v>265</v>
      </c>
      <c r="B970" s="3" t="e">
        <f t="array" aca="1" ref="B970" ca="1">_xludf.XLOOKUP(A970,duobahlul_videos!$A$1:$A$52,duobahlul_videos!$B$1:$B$52)</f>
        <v>#NAME?</v>
      </c>
      <c r="C970" s="3" t="s">
        <v>2199</v>
      </c>
      <c r="D970" s="3">
        <v>43</v>
      </c>
      <c r="E970" s="3" t="s">
        <v>2200</v>
      </c>
    </row>
    <row r="971" spans="1:5" ht="13" hidden="1" x14ac:dyDescent="0.15">
      <c r="A971" s="3" t="s">
        <v>265</v>
      </c>
      <c r="B971" s="3" t="e">
        <f t="array" aca="1" ref="B971" ca="1">_xludf.XLOOKUP(A971,duobahlul_videos!$A$1:$A$52,duobahlul_videos!$B$1:$B$52)</f>
        <v>#NAME?</v>
      </c>
      <c r="C971" s="3" t="s">
        <v>2201</v>
      </c>
      <c r="D971" s="3">
        <v>30</v>
      </c>
      <c r="E971" s="3" t="s">
        <v>2202</v>
      </c>
    </row>
    <row r="972" spans="1:5" ht="13" hidden="1" x14ac:dyDescent="0.15">
      <c r="A972" s="3" t="s">
        <v>265</v>
      </c>
      <c r="B972" s="3" t="e">
        <f t="array" aca="1" ref="B972" ca="1">_xludf.XLOOKUP(A972,duobahlul_videos!$A$1:$A$52,duobahlul_videos!$B$1:$B$52)</f>
        <v>#NAME?</v>
      </c>
      <c r="C972" s="3" t="s">
        <v>2203</v>
      </c>
      <c r="D972" s="3">
        <v>19</v>
      </c>
      <c r="E972" s="3" t="s">
        <v>2204</v>
      </c>
    </row>
    <row r="973" spans="1:5" ht="13" hidden="1" x14ac:dyDescent="0.15">
      <c r="A973" s="3" t="s">
        <v>265</v>
      </c>
      <c r="B973" s="3" t="e">
        <f t="array" aca="1" ref="B973" ca="1">_xludf.XLOOKUP(A973,duobahlul_videos!$A$1:$A$52,duobahlul_videos!$B$1:$B$52)</f>
        <v>#NAME?</v>
      </c>
      <c r="C973" s="3" t="s">
        <v>2205</v>
      </c>
      <c r="D973" s="3">
        <v>14</v>
      </c>
      <c r="E973" s="3" t="s">
        <v>2206</v>
      </c>
    </row>
    <row r="974" spans="1:5" ht="13" hidden="1" x14ac:dyDescent="0.15">
      <c r="A974" s="3" t="s">
        <v>265</v>
      </c>
      <c r="B974" s="3" t="e">
        <f t="array" aca="1" ref="B974" ca="1">_xludf.XLOOKUP(A974,duobahlul_videos!$A$1:$A$52,duobahlul_videos!$B$1:$B$52)</f>
        <v>#NAME?</v>
      </c>
      <c r="C974" s="3" t="s">
        <v>2207</v>
      </c>
      <c r="D974" s="3">
        <v>47</v>
      </c>
      <c r="E974" s="3" t="s">
        <v>2208</v>
      </c>
    </row>
    <row r="975" spans="1:5" ht="13" hidden="1" x14ac:dyDescent="0.15">
      <c r="A975" s="3" t="s">
        <v>265</v>
      </c>
      <c r="B975" s="3" t="e">
        <f t="array" aca="1" ref="B975" ca="1">_xludf.XLOOKUP(A975,duobahlul_videos!$A$1:$A$52,duobahlul_videos!$B$1:$B$52)</f>
        <v>#NAME?</v>
      </c>
      <c r="C975" s="3" t="s">
        <v>2209</v>
      </c>
      <c r="D975" s="3">
        <v>17</v>
      </c>
      <c r="E975" s="3" t="s">
        <v>2210</v>
      </c>
    </row>
    <row r="976" spans="1:5" ht="13" hidden="1" x14ac:dyDescent="0.15">
      <c r="A976" s="3" t="s">
        <v>265</v>
      </c>
      <c r="B976" s="3" t="e">
        <f t="array" aca="1" ref="B976" ca="1">_xludf.XLOOKUP(A976,duobahlul_videos!$A$1:$A$52,duobahlul_videos!$B$1:$B$52)</f>
        <v>#NAME?</v>
      </c>
      <c r="C976" s="3" t="s">
        <v>2211</v>
      </c>
      <c r="D976" s="3">
        <v>7</v>
      </c>
      <c r="E976" s="3" t="s">
        <v>2212</v>
      </c>
    </row>
    <row r="977" spans="1:5" ht="13" hidden="1" x14ac:dyDescent="0.15">
      <c r="A977" s="3" t="s">
        <v>265</v>
      </c>
      <c r="B977" s="3" t="e">
        <f t="array" aca="1" ref="B977" ca="1">_xludf.XLOOKUP(A977,duobahlul_videos!$A$1:$A$52,duobahlul_videos!$B$1:$B$52)</f>
        <v>#NAME?</v>
      </c>
      <c r="C977" s="3" t="s">
        <v>2213</v>
      </c>
      <c r="D977" s="3">
        <v>3</v>
      </c>
      <c r="E977" s="3" t="s">
        <v>2214</v>
      </c>
    </row>
    <row r="978" spans="1:5" ht="13" hidden="1" x14ac:dyDescent="0.15">
      <c r="A978" s="3" t="s">
        <v>265</v>
      </c>
      <c r="B978" s="3" t="e">
        <f t="array" aca="1" ref="B978" ca="1">_xludf.XLOOKUP(A978,duobahlul_videos!$A$1:$A$52,duobahlul_videos!$B$1:$B$52)</f>
        <v>#NAME?</v>
      </c>
      <c r="C978" s="3" t="s">
        <v>2215</v>
      </c>
      <c r="D978" s="3">
        <v>16</v>
      </c>
      <c r="E978" s="3" t="s">
        <v>2216</v>
      </c>
    </row>
    <row r="979" spans="1:5" ht="13" hidden="1" x14ac:dyDescent="0.15">
      <c r="A979" s="3" t="s">
        <v>265</v>
      </c>
      <c r="B979" s="3" t="e">
        <f t="array" aca="1" ref="B979" ca="1">_xludf.XLOOKUP(A979,duobahlul_videos!$A$1:$A$52,duobahlul_videos!$B$1:$B$52)</f>
        <v>#NAME?</v>
      </c>
      <c r="C979" s="3" t="s">
        <v>2217</v>
      </c>
      <c r="D979" s="3">
        <v>11</v>
      </c>
      <c r="E979" s="3" t="s">
        <v>2218</v>
      </c>
    </row>
    <row r="980" spans="1:5" ht="13" hidden="1" x14ac:dyDescent="0.15">
      <c r="A980" s="3" t="s">
        <v>265</v>
      </c>
      <c r="B980" s="3" t="e">
        <f t="array" aca="1" ref="B980" ca="1">_xludf.XLOOKUP(A980,duobahlul_videos!$A$1:$A$52,duobahlul_videos!$B$1:$B$52)</f>
        <v>#NAME?</v>
      </c>
      <c r="C980" s="3" t="s">
        <v>2219</v>
      </c>
      <c r="D980" s="3">
        <v>12</v>
      </c>
      <c r="E980" s="3" t="s">
        <v>2220</v>
      </c>
    </row>
    <row r="981" spans="1:5" ht="13" hidden="1" x14ac:dyDescent="0.15">
      <c r="A981" s="3" t="s">
        <v>265</v>
      </c>
      <c r="B981" s="3" t="e">
        <f t="array" aca="1" ref="B981" ca="1">_xludf.XLOOKUP(A981,duobahlul_videos!$A$1:$A$52,duobahlul_videos!$B$1:$B$52)</f>
        <v>#NAME?</v>
      </c>
      <c r="C981" s="3" t="s">
        <v>2221</v>
      </c>
      <c r="D981" s="3">
        <v>8</v>
      </c>
      <c r="E981" s="3" t="s">
        <v>2222</v>
      </c>
    </row>
    <row r="982" spans="1:5" ht="13" hidden="1" x14ac:dyDescent="0.15">
      <c r="A982" s="3" t="s">
        <v>265</v>
      </c>
      <c r="B982" s="3" t="e">
        <f t="array" aca="1" ref="B982" ca="1">_xludf.XLOOKUP(A982,duobahlul_videos!$A$1:$A$52,duobahlul_videos!$B$1:$B$52)</f>
        <v>#NAME?</v>
      </c>
      <c r="C982" s="3" t="s">
        <v>2223</v>
      </c>
      <c r="D982" s="3">
        <v>14</v>
      </c>
      <c r="E982" s="3" t="s">
        <v>2224</v>
      </c>
    </row>
    <row r="983" spans="1:5" ht="13" hidden="1" x14ac:dyDescent="0.15">
      <c r="A983" s="3" t="s">
        <v>265</v>
      </c>
      <c r="B983" s="3" t="e">
        <f t="array" aca="1" ref="B983" ca="1">_xludf.XLOOKUP(A983,duobahlul_videos!$A$1:$A$52,duobahlul_videos!$B$1:$B$52)</f>
        <v>#NAME?</v>
      </c>
      <c r="C983" s="3" t="s">
        <v>2225</v>
      </c>
      <c r="D983" s="3">
        <v>5</v>
      </c>
      <c r="E983" s="3" t="s">
        <v>2226</v>
      </c>
    </row>
    <row r="984" spans="1:5" ht="13" hidden="1" x14ac:dyDescent="0.15">
      <c r="A984" s="3" t="s">
        <v>265</v>
      </c>
      <c r="B984" s="3" t="e">
        <f t="array" aca="1" ref="B984" ca="1">_xludf.XLOOKUP(A984,duobahlul_videos!$A$1:$A$52,duobahlul_videos!$B$1:$B$52)</f>
        <v>#NAME?</v>
      </c>
      <c r="C984" s="3" t="s">
        <v>2227</v>
      </c>
      <c r="D984" s="3">
        <v>2</v>
      </c>
      <c r="E984" s="3" t="s">
        <v>2228</v>
      </c>
    </row>
    <row r="985" spans="1:5" ht="13" hidden="1" x14ac:dyDescent="0.15">
      <c r="A985" s="3" t="s">
        <v>346</v>
      </c>
      <c r="B985" s="3" t="e">
        <f t="array" aca="1" ref="B985" ca="1">_xludf.XLOOKUP(A985,duobahlul_videos!$A$1:$A$52,duobahlul_videos!$B$1:$B$52)</f>
        <v>#NAME?</v>
      </c>
      <c r="C985" s="3" t="s">
        <v>2229</v>
      </c>
      <c r="D985" s="3">
        <v>49</v>
      </c>
      <c r="E985" s="3" t="s">
        <v>2230</v>
      </c>
    </row>
    <row r="986" spans="1:5" ht="13" hidden="1" x14ac:dyDescent="0.15">
      <c r="A986" s="3" t="s">
        <v>346</v>
      </c>
      <c r="B986" s="3" t="e">
        <f t="array" aca="1" ref="B986" ca="1">_xludf.XLOOKUP(A986,duobahlul_videos!$A$1:$A$52,duobahlul_videos!$B$1:$B$52)</f>
        <v>#NAME?</v>
      </c>
      <c r="C986" s="3" t="s">
        <v>2231</v>
      </c>
      <c r="D986" s="3">
        <v>18</v>
      </c>
      <c r="E986" s="3" t="s">
        <v>2232</v>
      </c>
    </row>
    <row r="987" spans="1:5" ht="13" hidden="1" x14ac:dyDescent="0.15">
      <c r="A987" s="3" t="s">
        <v>346</v>
      </c>
      <c r="B987" s="3" t="e">
        <f t="array" aca="1" ref="B987" ca="1">_xludf.XLOOKUP(A987,duobahlul_videos!$A$1:$A$52,duobahlul_videos!$B$1:$B$52)</f>
        <v>#NAME?</v>
      </c>
      <c r="C987" s="3" t="s">
        <v>2233</v>
      </c>
      <c r="D987" s="3">
        <v>25</v>
      </c>
      <c r="E987" s="3" t="s">
        <v>2234</v>
      </c>
    </row>
    <row r="988" spans="1:5" ht="13" hidden="1" x14ac:dyDescent="0.15">
      <c r="A988" s="3" t="s">
        <v>346</v>
      </c>
      <c r="B988" s="3" t="e">
        <f t="array" aca="1" ref="B988" ca="1">_xludf.XLOOKUP(A988,duobahlul_videos!$A$1:$A$52,duobahlul_videos!$B$1:$B$52)</f>
        <v>#NAME?</v>
      </c>
      <c r="C988" s="3" t="s">
        <v>2235</v>
      </c>
      <c r="D988" s="3">
        <v>3</v>
      </c>
      <c r="E988" s="3" t="s">
        <v>2236</v>
      </c>
    </row>
    <row r="989" spans="1:5" ht="13" hidden="1" x14ac:dyDescent="0.15">
      <c r="A989" s="3" t="s">
        <v>346</v>
      </c>
      <c r="B989" s="3" t="e">
        <f t="array" aca="1" ref="B989" ca="1">_xludf.XLOOKUP(A989,duobahlul_videos!$A$1:$A$52,duobahlul_videos!$B$1:$B$52)</f>
        <v>#NAME?</v>
      </c>
      <c r="C989" s="3" t="s">
        <v>221</v>
      </c>
      <c r="D989" s="3">
        <v>14</v>
      </c>
      <c r="E989" s="3" t="s">
        <v>2237</v>
      </c>
    </row>
    <row r="990" spans="1:5" ht="13" hidden="1" x14ac:dyDescent="0.15">
      <c r="A990" s="3" t="s">
        <v>346</v>
      </c>
      <c r="B990" s="3" t="e">
        <f t="array" aca="1" ref="B990" ca="1">_xludf.XLOOKUP(A990,duobahlul_videos!$A$1:$A$52,duobahlul_videos!$B$1:$B$52)</f>
        <v>#NAME?</v>
      </c>
      <c r="C990" s="3" t="s">
        <v>2238</v>
      </c>
      <c r="D990" s="3">
        <v>3</v>
      </c>
      <c r="E990" s="3" t="s">
        <v>2239</v>
      </c>
    </row>
    <row r="991" spans="1:5" ht="13" hidden="1" x14ac:dyDescent="0.15">
      <c r="A991" s="3" t="s">
        <v>346</v>
      </c>
      <c r="B991" s="3" t="e">
        <f t="array" aca="1" ref="B991" ca="1">_xludf.XLOOKUP(A991,duobahlul_videos!$A$1:$A$52,duobahlul_videos!$B$1:$B$52)</f>
        <v>#NAME?</v>
      </c>
      <c r="C991" s="3" t="s">
        <v>2240</v>
      </c>
      <c r="D991" s="3">
        <v>17</v>
      </c>
      <c r="E991" s="3" t="s">
        <v>2241</v>
      </c>
    </row>
    <row r="992" spans="1:5" ht="13" hidden="1" x14ac:dyDescent="0.15">
      <c r="A992" s="3" t="s">
        <v>346</v>
      </c>
      <c r="B992" s="3" t="e">
        <f t="array" aca="1" ref="B992" ca="1">_xludf.XLOOKUP(A992,duobahlul_videos!$A$1:$A$52,duobahlul_videos!$B$1:$B$52)</f>
        <v>#NAME?</v>
      </c>
      <c r="C992" s="3" t="s">
        <v>2242</v>
      </c>
      <c r="D992" s="3">
        <v>13</v>
      </c>
      <c r="E992" s="3" t="s">
        <v>2243</v>
      </c>
    </row>
    <row r="993" spans="1:5" ht="13" hidden="1" x14ac:dyDescent="0.15">
      <c r="A993" s="3" t="s">
        <v>346</v>
      </c>
      <c r="B993" s="3" t="e">
        <f t="array" aca="1" ref="B993" ca="1">_xludf.XLOOKUP(A993,duobahlul_videos!$A$1:$A$52,duobahlul_videos!$B$1:$B$52)</f>
        <v>#NAME?</v>
      </c>
      <c r="C993" s="3" t="s">
        <v>2244</v>
      </c>
      <c r="D993" s="3">
        <v>13</v>
      </c>
      <c r="E993" s="3" t="s">
        <v>2245</v>
      </c>
    </row>
    <row r="994" spans="1:5" ht="13" hidden="1" x14ac:dyDescent="0.15">
      <c r="A994" s="3" t="s">
        <v>346</v>
      </c>
      <c r="B994" s="3" t="e">
        <f t="array" aca="1" ref="B994" ca="1">_xludf.XLOOKUP(A994,duobahlul_videos!$A$1:$A$52,duobahlul_videos!$B$1:$B$52)</f>
        <v>#NAME?</v>
      </c>
      <c r="C994" s="3" t="s">
        <v>2246</v>
      </c>
      <c r="D994" s="3">
        <v>3</v>
      </c>
      <c r="E994" s="3" t="s">
        <v>2247</v>
      </c>
    </row>
    <row r="995" spans="1:5" ht="13" hidden="1" x14ac:dyDescent="0.15">
      <c r="A995" s="3" t="s">
        <v>346</v>
      </c>
      <c r="B995" s="3" t="e">
        <f t="array" aca="1" ref="B995" ca="1">_xludf.XLOOKUP(A995,duobahlul_videos!$A$1:$A$52,duobahlul_videos!$B$1:$B$52)</f>
        <v>#NAME?</v>
      </c>
      <c r="C995" s="3" t="s">
        <v>2248</v>
      </c>
      <c r="D995" s="3">
        <v>7</v>
      </c>
      <c r="E995" s="3" t="s">
        <v>2249</v>
      </c>
    </row>
    <row r="996" spans="1:5" ht="13" hidden="1" x14ac:dyDescent="0.15">
      <c r="A996" s="3" t="s">
        <v>346</v>
      </c>
      <c r="B996" s="3" t="e">
        <f t="array" aca="1" ref="B996" ca="1">_xludf.XLOOKUP(A996,duobahlul_videos!$A$1:$A$52,duobahlul_videos!$B$1:$B$52)</f>
        <v>#NAME?</v>
      </c>
      <c r="C996" s="3" t="s">
        <v>2250</v>
      </c>
      <c r="D996" s="3">
        <v>2</v>
      </c>
      <c r="E996" s="3" t="s">
        <v>2251</v>
      </c>
    </row>
    <row r="997" spans="1:5" ht="13" hidden="1" x14ac:dyDescent="0.15">
      <c r="A997" s="3" t="s">
        <v>346</v>
      </c>
      <c r="B997" s="3" t="e">
        <f t="array" aca="1" ref="B997" ca="1">_xludf.XLOOKUP(A997,duobahlul_videos!$A$1:$A$52,duobahlul_videos!$B$1:$B$52)</f>
        <v>#NAME?</v>
      </c>
      <c r="C997" s="3" t="s">
        <v>2252</v>
      </c>
      <c r="D997" s="3">
        <v>6</v>
      </c>
      <c r="E997" s="3" t="s">
        <v>2253</v>
      </c>
    </row>
    <row r="998" spans="1:5" ht="13" hidden="1" x14ac:dyDescent="0.15">
      <c r="A998" s="3" t="s">
        <v>346</v>
      </c>
      <c r="B998" s="3" t="e">
        <f t="array" aca="1" ref="B998" ca="1">_xludf.XLOOKUP(A998,duobahlul_videos!$A$1:$A$52,duobahlul_videos!$B$1:$B$52)</f>
        <v>#NAME?</v>
      </c>
      <c r="C998" s="3" t="s">
        <v>2254</v>
      </c>
      <c r="D998" s="3">
        <v>3</v>
      </c>
      <c r="E998" s="3" t="s">
        <v>2255</v>
      </c>
    </row>
    <row r="999" spans="1:5" ht="13" hidden="1" x14ac:dyDescent="0.15">
      <c r="A999" s="3" t="s">
        <v>346</v>
      </c>
      <c r="B999" s="3" t="e">
        <f t="array" aca="1" ref="B999" ca="1">_xludf.XLOOKUP(A999,duobahlul_videos!$A$1:$A$52,duobahlul_videos!$B$1:$B$52)</f>
        <v>#NAME?</v>
      </c>
      <c r="C999" s="3" t="s">
        <v>2256</v>
      </c>
      <c r="D999" s="3">
        <v>3</v>
      </c>
      <c r="E999" s="3" t="s">
        <v>2257</v>
      </c>
    </row>
    <row r="1000" spans="1:5" ht="13" hidden="1" x14ac:dyDescent="0.15">
      <c r="A1000" s="3" t="s">
        <v>346</v>
      </c>
      <c r="B1000" s="3" t="e">
        <f t="array" aca="1" ref="B1000" ca="1">_xludf.XLOOKUP(A1000,duobahlul_videos!$A$1:$A$52,duobahlul_videos!$B$1:$B$52)</f>
        <v>#NAME?</v>
      </c>
      <c r="C1000" s="3" t="s">
        <v>2258</v>
      </c>
      <c r="D1000" s="3">
        <v>3</v>
      </c>
      <c r="E1000" s="3" t="s">
        <v>2259</v>
      </c>
    </row>
    <row r="1001" spans="1:5" ht="13" hidden="1" x14ac:dyDescent="0.15">
      <c r="A1001" s="3" t="s">
        <v>346</v>
      </c>
      <c r="B1001" s="3" t="e">
        <f t="array" aca="1" ref="B1001" ca="1">_xludf.XLOOKUP(A1001,duobahlul_videos!$A$1:$A$52,duobahlul_videos!$B$1:$B$52)</f>
        <v>#NAME?</v>
      </c>
      <c r="C1001" s="3" t="s">
        <v>2260</v>
      </c>
      <c r="D1001" s="3">
        <v>9</v>
      </c>
      <c r="E1001" s="3" t="s">
        <v>2261</v>
      </c>
    </row>
    <row r="1002" spans="1:5" ht="13" hidden="1" x14ac:dyDescent="0.15">
      <c r="A1002" s="3" t="s">
        <v>346</v>
      </c>
      <c r="B1002" s="3" t="e">
        <f t="array" aca="1" ref="B1002" ca="1">_xludf.XLOOKUP(A1002,duobahlul_videos!$A$1:$A$52,duobahlul_videos!$B$1:$B$52)</f>
        <v>#NAME?</v>
      </c>
      <c r="C1002" s="3" t="s">
        <v>2262</v>
      </c>
      <c r="D1002" s="3">
        <v>5</v>
      </c>
      <c r="E1002" s="3" t="s">
        <v>2263</v>
      </c>
    </row>
    <row r="1003" spans="1:5" ht="13" hidden="1" x14ac:dyDescent="0.15">
      <c r="A1003" s="3" t="s">
        <v>346</v>
      </c>
      <c r="B1003" s="3" t="e">
        <f t="array" aca="1" ref="B1003" ca="1">_xludf.XLOOKUP(A1003,duobahlul_videos!$A$1:$A$52,duobahlul_videos!$B$1:$B$52)</f>
        <v>#NAME?</v>
      </c>
      <c r="C1003" s="3" t="s">
        <v>2264</v>
      </c>
      <c r="D1003" s="3">
        <v>1</v>
      </c>
      <c r="E1003" s="3" t="s">
        <v>2265</v>
      </c>
    </row>
    <row r="1004" spans="1:5" ht="13" hidden="1" x14ac:dyDescent="0.15">
      <c r="A1004" s="3" t="s">
        <v>346</v>
      </c>
      <c r="B1004" s="3" t="e">
        <f t="array" aca="1" ref="B1004" ca="1">_xludf.XLOOKUP(A1004,duobahlul_videos!$A$1:$A$52,duobahlul_videos!$B$1:$B$52)</f>
        <v>#NAME?</v>
      </c>
      <c r="C1004" s="3" t="s">
        <v>2266</v>
      </c>
      <c r="D1004" s="3">
        <v>0</v>
      </c>
      <c r="E1004" s="3" t="s">
        <v>2267</v>
      </c>
    </row>
  </sheetData>
  <autoFilter ref="A1:E1004" xr:uid="{00000000-0009-0000-0000-000001000000}">
    <filterColumn colId="1">
      <filters>
        <filter val="⁠DEMI SANIA, COWOK RELA PINDAH AGAMA?! - PODCAST BAHLUL (SAHIL DAN KAMAL)"/>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1000"/>
  <sheetViews>
    <sheetView workbookViewId="0"/>
  </sheetViews>
  <sheetFormatPr baseColWidth="10" defaultColWidth="12.6640625" defaultRowHeight="15.75" customHeight="1" x14ac:dyDescent="0.15"/>
  <cols>
    <col min="2" max="2" width="53.33203125" customWidth="1"/>
  </cols>
  <sheetData>
    <row r="1" spans="1:11" ht="15.75" customHeight="1" x14ac:dyDescent="0.15">
      <c r="A1" s="3" t="s">
        <v>0</v>
      </c>
      <c r="B1" s="5" t="s">
        <v>11</v>
      </c>
      <c r="C1" s="3" t="s">
        <v>7</v>
      </c>
      <c r="D1" s="3" t="s">
        <v>52</v>
      </c>
      <c r="E1" s="3" t="s">
        <v>54</v>
      </c>
      <c r="H1" s="3" t="s">
        <v>55</v>
      </c>
      <c r="I1" s="3" t="s">
        <v>56</v>
      </c>
      <c r="J1" s="3" t="s">
        <v>57</v>
      </c>
      <c r="K1" s="3" t="s">
        <v>58</v>
      </c>
    </row>
    <row r="2" spans="1:11" ht="15.75" customHeight="1" x14ac:dyDescent="0.15">
      <c r="A2" s="3" t="s">
        <v>27</v>
      </c>
      <c r="B2" s="6" t="s">
        <v>59</v>
      </c>
      <c r="C2" s="3">
        <v>1008</v>
      </c>
      <c r="D2" s="3" t="s">
        <v>69</v>
      </c>
      <c r="E2" s="3" t="s">
        <v>71</v>
      </c>
      <c r="H2" s="3" t="s">
        <v>69</v>
      </c>
      <c r="I2" s="3">
        <f t="shared" ref="I2:I4" si="0">COUNTIF($D$2:$D$21,H2)</f>
        <v>11</v>
      </c>
      <c r="J2" s="3">
        <f t="shared" ref="J2:J5" si="1">$I2/$I$5*100</f>
        <v>55.000000000000007</v>
      </c>
      <c r="K2" s="3">
        <f t="shared" ref="K2:K4" si="2">ROUND((SUMIFS($C$1:$C$21,$D$1:$D$21,$H2)+1)/($C$22+1)*100,1)</f>
        <v>57.5</v>
      </c>
    </row>
    <row r="3" spans="1:11" ht="15.75" customHeight="1" x14ac:dyDescent="0.15">
      <c r="A3" s="3" t="s">
        <v>27</v>
      </c>
      <c r="B3" s="6" t="s">
        <v>104</v>
      </c>
      <c r="C3" s="3">
        <v>461</v>
      </c>
      <c r="D3" s="3" t="s">
        <v>69</v>
      </c>
      <c r="E3" s="3" t="s">
        <v>106</v>
      </c>
      <c r="H3" s="3" t="s">
        <v>107</v>
      </c>
      <c r="I3" s="3">
        <f t="shared" si="0"/>
        <v>8</v>
      </c>
      <c r="J3" s="3">
        <f t="shared" si="1"/>
        <v>40</v>
      </c>
      <c r="K3" s="3">
        <f t="shared" si="2"/>
        <v>40.299999999999997</v>
      </c>
    </row>
    <row r="4" spans="1:11" ht="15.75" customHeight="1" x14ac:dyDescent="0.15">
      <c r="A4" s="3" t="s">
        <v>27</v>
      </c>
      <c r="B4" s="6" t="s">
        <v>113</v>
      </c>
      <c r="C4" s="3">
        <v>68</v>
      </c>
      <c r="D4" s="3" t="s">
        <v>69</v>
      </c>
      <c r="E4" s="3" t="s">
        <v>106</v>
      </c>
      <c r="H4" s="3" t="s">
        <v>115</v>
      </c>
      <c r="I4" s="3">
        <f t="shared" si="0"/>
        <v>1</v>
      </c>
      <c r="J4" s="3">
        <f t="shared" si="1"/>
        <v>5</v>
      </c>
      <c r="K4" s="3">
        <f t="shared" si="2"/>
        <v>2.2999999999999998</v>
      </c>
    </row>
    <row r="5" spans="1:11" ht="15.75" customHeight="1" x14ac:dyDescent="0.15">
      <c r="A5" s="3" t="s">
        <v>27</v>
      </c>
      <c r="B5" s="6" t="s">
        <v>122</v>
      </c>
      <c r="C5" s="3">
        <v>499</v>
      </c>
      <c r="D5" s="3" t="s">
        <v>107</v>
      </c>
      <c r="E5" s="3" t="s">
        <v>123</v>
      </c>
      <c r="H5" s="3" t="s">
        <v>125</v>
      </c>
      <c r="I5" s="3">
        <f>SUM(I2:I4)</f>
        <v>20</v>
      </c>
      <c r="J5" s="3">
        <f t="shared" si="1"/>
        <v>100</v>
      </c>
      <c r="K5" s="7">
        <f>SUM(K2:K4)</f>
        <v>100.1</v>
      </c>
    </row>
    <row r="6" spans="1:11" ht="15.75" customHeight="1" x14ac:dyDescent="0.15">
      <c r="A6" s="3" t="s">
        <v>27</v>
      </c>
      <c r="B6" s="6" t="s">
        <v>138</v>
      </c>
      <c r="C6" s="3">
        <v>284</v>
      </c>
      <c r="D6" s="3" t="s">
        <v>107</v>
      </c>
      <c r="E6" s="3" t="s">
        <v>71</v>
      </c>
    </row>
    <row r="7" spans="1:11" ht="15.75" customHeight="1" x14ac:dyDescent="0.15">
      <c r="A7" s="3" t="s">
        <v>27</v>
      </c>
      <c r="B7" s="6" t="s">
        <v>142</v>
      </c>
      <c r="C7" s="3">
        <v>224</v>
      </c>
      <c r="D7" s="3" t="s">
        <v>69</v>
      </c>
      <c r="E7" s="3" t="s">
        <v>106</v>
      </c>
    </row>
    <row r="8" spans="1:11" ht="15.75" customHeight="1" x14ac:dyDescent="0.15">
      <c r="A8" s="3" t="s">
        <v>27</v>
      </c>
      <c r="B8" s="6" t="s">
        <v>150</v>
      </c>
      <c r="C8" s="3">
        <v>99</v>
      </c>
      <c r="D8" s="3" t="s">
        <v>107</v>
      </c>
      <c r="E8" s="3" t="s">
        <v>123</v>
      </c>
      <c r="H8" s="3" t="s">
        <v>106</v>
      </c>
      <c r="I8" s="3">
        <f t="shared" ref="I8:I11" si="3">COUNTIF($E$2:$E$21,$H8)</f>
        <v>6</v>
      </c>
      <c r="J8" s="3">
        <f t="shared" ref="J8:J12" si="4">$I8/$I$12*100</f>
        <v>30</v>
      </c>
    </row>
    <row r="9" spans="1:11" ht="15.75" customHeight="1" x14ac:dyDescent="0.15">
      <c r="A9" s="3" t="s">
        <v>27</v>
      </c>
      <c r="B9" s="6" t="s">
        <v>158</v>
      </c>
      <c r="C9" s="3">
        <v>98</v>
      </c>
      <c r="D9" s="3" t="s">
        <v>107</v>
      </c>
      <c r="E9" s="3" t="s">
        <v>123</v>
      </c>
      <c r="H9" s="3" t="s">
        <v>71</v>
      </c>
      <c r="I9" s="3">
        <f t="shared" si="3"/>
        <v>6</v>
      </c>
      <c r="J9" s="3">
        <f t="shared" si="4"/>
        <v>30</v>
      </c>
    </row>
    <row r="10" spans="1:11" ht="15.75" customHeight="1" x14ac:dyDescent="0.15">
      <c r="A10" s="3" t="s">
        <v>27</v>
      </c>
      <c r="B10" s="6" t="s">
        <v>164</v>
      </c>
      <c r="C10" s="3">
        <v>92</v>
      </c>
      <c r="D10" s="3" t="s">
        <v>69</v>
      </c>
      <c r="E10" s="3" t="s">
        <v>71</v>
      </c>
      <c r="H10" s="3" t="s">
        <v>169</v>
      </c>
      <c r="I10" s="3">
        <f t="shared" si="3"/>
        <v>1</v>
      </c>
      <c r="J10" s="3">
        <f t="shared" si="4"/>
        <v>5</v>
      </c>
    </row>
    <row r="11" spans="1:11" ht="15.75" customHeight="1" x14ac:dyDescent="0.15">
      <c r="A11" s="3" t="s">
        <v>27</v>
      </c>
      <c r="B11" s="6" t="s">
        <v>172</v>
      </c>
      <c r="C11" s="3">
        <v>51</v>
      </c>
      <c r="D11" s="3" t="s">
        <v>107</v>
      </c>
      <c r="E11" s="3" t="s">
        <v>123</v>
      </c>
      <c r="H11" s="3" t="s">
        <v>123</v>
      </c>
      <c r="I11" s="3">
        <f t="shared" si="3"/>
        <v>7</v>
      </c>
      <c r="J11" s="3">
        <f t="shared" si="4"/>
        <v>35</v>
      </c>
    </row>
    <row r="12" spans="1:11" ht="15.75" customHeight="1" x14ac:dyDescent="0.15">
      <c r="A12" s="3" t="s">
        <v>27</v>
      </c>
      <c r="B12" s="6" t="s">
        <v>180</v>
      </c>
      <c r="C12" s="3">
        <v>11</v>
      </c>
      <c r="D12" s="3" t="s">
        <v>69</v>
      </c>
      <c r="E12" s="3" t="s">
        <v>106</v>
      </c>
      <c r="I12" s="3">
        <f>SUM(I8:I11)</f>
        <v>20</v>
      </c>
      <c r="J12" s="3">
        <f t="shared" si="4"/>
        <v>100</v>
      </c>
    </row>
    <row r="13" spans="1:11" ht="15.75" customHeight="1" x14ac:dyDescent="0.15">
      <c r="A13" s="3" t="s">
        <v>27</v>
      </c>
      <c r="B13" s="6" t="s">
        <v>191</v>
      </c>
      <c r="C13" s="3">
        <v>334</v>
      </c>
      <c r="D13" s="3" t="s">
        <v>107</v>
      </c>
      <c r="E13" s="3" t="s">
        <v>123</v>
      </c>
    </row>
    <row r="14" spans="1:11" ht="15.75" customHeight="1" x14ac:dyDescent="0.15">
      <c r="A14" s="3" t="s">
        <v>27</v>
      </c>
      <c r="B14" s="6" t="s">
        <v>194</v>
      </c>
      <c r="C14" s="3">
        <v>24</v>
      </c>
      <c r="D14" s="3" t="s">
        <v>69</v>
      </c>
      <c r="E14" s="3" t="s">
        <v>71</v>
      </c>
    </row>
    <row r="15" spans="1:11" ht="15.75" customHeight="1" x14ac:dyDescent="0.15">
      <c r="A15" s="3" t="s">
        <v>27</v>
      </c>
      <c r="B15" s="6" t="s">
        <v>196</v>
      </c>
      <c r="C15" s="3">
        <v>129</v>
      </c>
      <c r="D15" s="3" t="s">
        <v>69</v>
      </c>
      <c r="E15" s="3" t="s">
        <v>106</v>
      </c>
    </row>
    <row r="16" spans="1:11" ht="15.75" customHeight="1" x14ac:dyDescent="0.15">
      <c r="A16" s="3" t="s">
        <v>27</v>
      </c>
      <c r="B16" s="6" t="s">
        <v>199</v>
      </c>
      <c r="C16" s="3">
        <v>21</v>
      </c>
      <c r="D16" s="3" t="s">
        <v>107</v>
      </c>
      <c r="E16" s="3" t="s">
        <v>123</v>
      </c>
    </row>
    <row r="17" spans="1:5" ht="15.75" customHeight="1" x14ac:dyDescent="0.15">
      <c r="A17" s="3" t="s">
        <v>27</v>
      </c>
      <c r="B17" s="6" t="s">
        <v>203</v>
      </c>
      <c r="C17" s="3">
        <v>31</v>
      </c>
      <c r="D17" s="3" t="s">
        <v>69</v>
      </c>
      <c r="E17" s="3" t="s">
        <v>71</v>
      </c>
    </row>
    <row r="18" spans="1:5" ht="15.75" customHeight="1" x14ac:dyDescent="0.15">
      <c r="A18" s="3" t="s">
        <v>27</v>
      </c>
      <c r="B18" s="6" t="s">
        <v>207</v>
      </c>
      <c r="C18" s="3">
        <v>85</v>
      </c>
      <c r="D18" s="3" t="s">
        <v>115</v>
      </c>
      <c r="E18" s="3" t="s">
        <v>169</v>
      </c>
    </row>
    <row r="19" spans="1:5" ht="15.75" customHeight="1" x14ac:dyDescent="0.15">
      <c r="A19" s="3" t="s">
        <v>27</v>
      </c>
      <c r="B19" s="6" t="s">
        <v>215</v>
      </c>
      <c r="C19" s="3">
        <v>73</v>
      </c>
      <c r="D19" s="3" t="s">
        <v>69</v>
      </c>
      <c r="E19" s="3" t="s">
        <v>123</v>
      </c>
    </row>
    <row r="20" spans="1:5" ht="15.75" customHeight="1" x14ac:dyDescent="0.15">
      <c r="A20" s="3" t="s">
        <v>27</v>
      </c>
      <c r="B20" s="6" t="s">
        <v>221</v>
      </c>
      <c r="C20" s="3">
        <v>22</v>
      </c>
      <c r="D20" s="3" t="s">
        <v>69</v>
      </c>
      <c r="E20" s="3" t="s">
        <v>106</v>
      </c>
    </row>
    <row r="21" spans="1:5" ht="15.75" customHeight="1" x14ac:dyDescent="0.15">
      <c r="A21" s="3" t="s">
        <v>27</v>
      </c>
      <c r="B21" s="6" t="s">
        <v>224</v>
      </c>
      <c r="C21" s="3">
        <v>115</v>
      </c>
      <c r="D21" s="3" t="s">
        <v>107</v>
      </c>
      <c r="E21" s="3" t="s">
        <v>71</v>
      </c>
    </row>
    <row r="22" spans="1:5" ht="15.75" customHeight="1" x14ac:dyDescent="0.15">
      <c r="B22" s="5"/>
      <c r="C22" s="3">
        <f>SUM(C2:C21)</f>
        <v>3729</v>
      </c>
    </row>
    <row r="23" spans="1:5" ht="15.75" customHeight="1" x14ac:dyDescent="0.15">
      <c r="B23" s="5"/>
    </row>
    <row r="24" spans="1:5" ht="15.75" customHeight="1" x14ac:dyDescent="0.15">
      <c r="B24" s="5"/>
    </row>
    <row r="25" spans="1:5" ht="15.75" customHeight="1" x14ac:dyDescent="0.15">
      <c r="B25" s="5"/>
    </row>
    <row r="26" spans="1:5" ht="15.75" customHeight="1" x14ac:dyDescent="0.15">
      <c r="B26" s="5"/>
    </row>
    <row r="27" spans="1:5" ht="15.75" customHeight="1" x14ac:dyDescent="0.15">
      <c r="B27" s="5"/>
    </row>
    <row r="28" spans="1:5" ht="15.75" customHeight="1" x14ac:dyDescent="0.15">
      <c r="B28" s="5"/>
    </row>
    <row r="29" spans="1:5" ht="15.75" customHeight="1" x14ac:dyDescent="0.15">
      <c r="B29" s="5"/>
    </row>
    <row r="30" spans="1:5" ht="15.75" customHeight="1" x14ac:dyDescent="0.15">
      <c r="B30" s="5"/>
    </row>
    <row r="31" spans="1:5" ht="15.75" customHeight="1" x14ac:dyDescent="0.15">
      <c r="B31" s="5"/>
    </row>
    <row r="32" spans="1:5" ht="15.75" customHeight="1" x14ac:dyDescent="0.15">
      <c r="B32" s="5"/>
    </row>
    <row r="33" spans="2:2" ht="15.75" customHeight="1" x14ac:dyDescent="0.15">
      <c r="B33" s="5"/>
    </row>
    <row r="34" spans="2:2" ht="15.75" customHeight="1" x14ac:dyDescent="0.15">
      <c r="B34" s="5"/>
    </row>
    <row r="35" spans="2:2" ht="15.75" customHeight="1" x14ac:dyDescent="0.15">
      <c r="B35" s="5"/>
    </row>
    <row r="36" spans="2:2" ht="15.75" customHeight="1" x14ac:dyDescent="0.15">
      <c r="B36" s="5"/>
    </row>
    <row r="37" spans="2:2" ht="15.75" customHeight="1" x14ac:dyDescent="0.15">
      <c r="B37" s="5"/>
    </row>
    <row r="38" spans="2:2" ht="15.75" customHeight="1" x14ac:dyDescent="0.15">
      <c r="B38" s="5"/>
    </row>
    <row r="39" spans="2:2" ht="15.75" customHeight="1" x14ac:dyDescent="0.15">
      <c r="B39" s="5"/>
    </row>
    <row r="40" spans="2:2" ht="15.75" customHeight="1" x14ac:dyDescent="0.15">
      <c r="B40" s="5"/>
    </row>
    <row r="41" spans="2:2" ht="15.75" customHeight="1" x14ac:dyDescent="0.15">
      <c r="B41" s="5"/>
    </row>
    <row r="42" spans="2:2" ht="15.75" customHeight="1" x14ac:dyDescent="0.15">
      <c r="B42" s="5"/>
    </row>
    <row r="43" spans="2:2" ht="15.75" customHeight="1" x14ac:dyDescent="0.15">
      <c r="B43" s="5"/>
    </row>
    <row r="44" spans="2:2" ht="15.75" customHeight="1" x14ac:dyDescent="0.15">
      <c r="B44" s="5"/>
    </row>
    <row r="45" spans="2:2" ht="15.75" customHeight="1" x14ac:dyDescent="0.15">
      <c r="B45" s="5"/>
    </row>
    <row r="46" spans="2:2" ht="15.75" customHeight="1" x14ac:dyDescent="0.15">
      <c r="B46" s="5"/>
    </row>
    <row r="47" spans="2:2" ht="15.75" customHeight="1" x14ac:dyDescent="0.15">
      <c r="B47" s="5"/>
    </row>
    <row r="48" spans="2:2" ht="15.75" customHeight="1" x14ac:dyDescent="0.15">
      <c r="B48" s="5"/>
    </row>
    <row r="49" spans="2:2" ht="15.75" customHeight="1" x14ac:dyDescent="0.15">
      <c r="B49" s="5"/>
    </row>
    <row r="50" spans="2:2" ht="15.75" customHeight="1" x14ac:dyDescent="0.15">
      <c r="B50" s="5"/>
    </row>
    <row r="51" spans="2:2" ht="15.75" customHeight="1" x14ac:dyDescent="0.15">
      <c r="B51" s="5"/>
    </row>
    <row r="52" spans="2:2" ht="15.75" customHeight="1" x14ac:dyDescent="0.15">
      <c r="B52" s="5"/>
    </row>
    <row r="53" spans="2:2" ht="15.75" customHeight="1" x14ac:dyDescent="0.15">
      <c r="B53" s="5"/>
    </row>
    <row r="54" spans="2:2" ht="15.75" customHeight="1" x14ac:dyDescent="0.15">
      <c r="B54" s="5"/>
    </row>
    <row r="55" spans="2:2" ht="15.75" customHeight="1" x14ac:dyDescent="0.15">
      <c r="B55" s="5"/>
    </row>
    <row r="56" spans="2:2" ht="15.75" customHeight="1" x14ac:dyDescent="0.15">
      <c r="B56" s="5"/>
    </row>
    <row r="57" spans="2:2" ht="15.75" customHeight="1" x14ac:dyDescent="0.15">
      <c r="B57" s="5"/>
    </row>
    <row r="58" spans="2:2" ht="15.75" customHeight="1" x14ac:dyDescent="0.15">
      <c r="B58" s="5"/>
    </row>
    <row r="59" spans="2:2" ht="15.75" customHeight="1" x14ac:dyDescent="0.15">
      <c r="B59" s="5"/>
    </row>
    <row r="60" spans="2:2" ht="13" x14ac:dyDescent="0.15">
      <c r="B60" s="5"/>
    </row>
    <row r="61" spans="2:2" ht="13" x14ac:dyDescent="0.15">
      <c r="B61" s="5"/>
    </row>
    <row r="62" spans="2:2" ht="13" x14ac:dyDescent="0.15">
      <c r="B62" s="5"/>
    </row>
    <row r="63" spans="2:2" ht="13" x14ac:dyDescent="0.15">
      <c r="B63" s="5"/>
    </row>
    <row r="64" spans="2:2" ht="13" x14ac:dyDescent="0.15">
      <c r="B64" s="5"/>
    </row>
    <row r="65" spans="2:2" ht="13" x14ac:dyDescent="0.15">
      <c r="B65" s="5"/>
    </row>
    <row r="66" spans="2:2" ht="13" x14ac:dyDescent="0.15">
      <c r="B66" s="5"/>
    </row>
    <row r="67" spans="2:2" ht="13" x14ac:dyDescent="0.15">
      <c r="B67" s="5"/>
    </row>
    <row r="68" spans="2:2" ht="13" x14ac:dyDescent="0.15">
      <c r="B68" s="5"/>
    </row>
    <row r="69" spans="2:2" ht="13" x14ac:dyDescent="0.15">
      <c r="B69" s="5"/>
    </row>
    <row r="70" spans="2:2" ht="13" x14ac:dyDescent="0.15">
      <c r="B70" s="5"/>
    </row>
    <row r="71" spans="2:2" ht="13" x14ac:dyDescent="0.15">
      <c r="B71" s="5"/>
    </row>
    <row r="72" spans="2:2" ht="13" x14ac:dyDescent="0.15">
      <c r="B72" s="5"/>
    </row>
    <row r="73" spans="2:2" ht="13" x14ac:dyDescent="0.15">
      <c r="B73" s="5"/>
    </row>
    <row r="74" spans="2:2" ht="13" x14ac:dyDescent="0.15">
      <c r="B74" s="5"/>
    </row>
    <row r="75" spans="2:2" ht="13" x14ac:dyDescent="0.15">
      <c r="B75" s="5"/>
    </row>
    <row r="76" spans="2:2" ht="13" x14ac:dyDescent="0.15">
      <c r="B76" s="5"/>
    </row>
    <row r="77" spans="2:2" ht="13" x14ac:dyDescent="0.15">
      <c r="B77" s="5"/>
    </row>
    <row r="78" spans="2:2" ht="13" x14ac:dyDescent="0.15">
      <c r="B78" s="5"/>
    </row>
    <row r="79" spans="2:2" ht="13" x14ac:dyDescent="0.15">
      <c r="B79" s="5"/>
    </row>
    <row r="80" spans="2:2" ht="13" x14ac:dyDescent="0.15">
      <c r="B80" s="5"/>
    </row>
    <row r="81" spans="2:2" ht="13" x14ac:dyDescent="0.15">
      <c r="B81" s="5"/>
    </row>
    <row r="82" spans="2:2" ht="13" x14ac:dyDescent="0.15">
      <c r="B82" s="5"/>
    </row>
    <row r="83" spans="2:2" ht="13" x14ac:dyDescent="0.15">
      <c r="B83" s="5"/>
    </row>
    <row r="84" spans="2:2" ht="13" x14ac:dyDescent="0.15">
      <c r="B84" s="5"/>
    </row>
    <row r="85" spans="2:2" ht="13" x14ac:dyDescent="0.15">
      <c r="B85" s="5"/>
    </row>
    <row r="86" spans="2:2" ht="13" x14ac:dyDescent="0.15">
      <c r="B86" s="5"/>
    </row>
    <row r="87" spans="2:2" ht="13" x14ac:dyDescent="0.15">
      <c r="B87" s="5"/>
    </row>
    <row r="88" spans="2:2" ht="13" x14ac:dyDescent="0.15">
      <c r="B88" s="5"/>
    </row>
    <row r="89" spans="2:2" ht="13" x14ac:dyDescent="0.15">
      <c r="B89" s="5"/>
    </row>
    <row r="90" spans="2:2" ht="13" x14ac:dyDescent="0.15">
      <c r="B90" s="5"/>
    </row>
    <row r="91" spans="2:2" ht="13" x14ac:dyDescent="0.15">
      <c r="B91" s="5"/>
    </row>
    <row r="92" spans="2:2" ht="13" x14ac:dyDescent="0.15">
      <c r="B92" s="5"/>
    </row>
    <row r="93" spans="2:2" ht="13" x14ac:dyDescent="0.15">
      <c r="B93" s="5"/>
    </row>
    <row r="94" spans="2:2" ht="13" x14ac:dyDescent="0.15">
      <c r="B94" s="5"/>
    </row>
    <row r="95" spans="2:2" ht="13" x14ac:dyDescent="0.15">
      <c r="B95" s="5"/>
    </row>
    <row r="96" spans="2:2" ht="13" x14ac:dyDescent="0.15">
      <c r="B96" s="5"/>
    </row>
    <row r="97" spans="2:2" ht="13" x14ac:dyDescent="0.15">
      <c r="B97" s="5"/>
    </row>
    <row r="98" spans="2:2" ht="13" x14ac:dyDescent="0.15">
      <c r="B98" s="5"/>
    </row>
    <row r="99" spans="2:2" ht="13" x14ac:dyDescent="0.15">
      <c r="B99" s="5"/>
    </row>
    <row r="100" spans="2:2" ht="13" x14ac:dyDescent="0.15">
      <c r="B100" s="5"/>
    </row>
    <row r="101" spans="2:2" ht="13" x14ac:dyDescent="0.15">
      <c r="B101" s="5"/>
    </row>
    <row r="102" spans="2:2" ht="13" x14ac:dyDescent="0.15">
      <c r="B102" s="5"/>
    </row>
    <row r="103" spans="2:2" ht="13" x14ac:dyDescent="0.15">
      <c r="B103" s="5"/>
    </row>
    <row r="104" spans="2:2" ht="13" x14ac:dyDescent="0.15">
      <c r="B104" s="5"/>
    </row>
    <row r="105" spans="2:2" ht="13" x14ac:dyDescent="0.15">
      <c r="B105" s="5"/>
    </row>
    <row r="106" spans="2:2" ht="13" x14ac:dyDescent="0.15">
      <c r="B106" s="5"/>
    </row>
    <row r="107" spans="2:2" ht="13" x14ac:dyDescent="0.15">
      <c r="B107" s="5"/>
    </row>
    <row r="108" spans="2:2" ht="13" x14ac:dyDescent="0.15">
      <c r="B108" s="5"/>
    </row>
    <row r="109" spans="2:2" ht="13" x14ac:dyDescent="0.15">
      <c r="B109" s="5"/>
    </row>
    <row r="110" spans="2:2" ht="13" x14ac:dyDescent="0.15">
      <c r="B110" s="5"/>
    </row>
    <row r="111" spans="2:2" ht="13" x14ac:dyDescent="0.15">
      <c r="B111" s="5"/>
    </row>
    <row r="112" spans="2:2" ht="13" x14ac:dyDescent="0.15">
      <c r="B112" s="5"/>
    </row>
    <row r="113" spans="2:2" ht="13" x14ac:dyDescent="0.15">
      <c r="B113" s="5"/>
    </row>
    <row r="114" spans="2:2" ht="13" x14ac:dyDescent="0.15">
      <c r="B114" s="5"/>
    </row>
    <row r="115" spans="2:2" ht="13" x14ac:dyDescent="0.15">
      <c r="B115" s="5"/>
    </row>
    <row r="116" spans="2:2" ht="13" x14ac:dyDescent="0.15">
      <c r="B116" s="5"/>
    </row>
    <row r="117" spans="2:2" ht="13" x14ac:dyDescent="0.15">
      <c r="B117" s="5"/>
    </row>
    <row r="118" spans="2:2" ht="13" x14ac:dyDescent="0.15">
      <c r="B118" s="5"/>
    </row>
    <row r="119" spans="2:2" ht="13" x14ac:dyDescent="0.15">
      <c r="B119" s="5"/>
    </row>
    <row r="120" spans="2:2" ht="13" x14ac:dyDescent="0.15">
      <c r="B120" s="5"/>
    </row>
    <row r="121" spans="2:2" ht="13" x14ac:dyDescent="0.15">
      <c r="B121" s="5"/>
    </row>
    <row r="122" spans="2:2" ht="13" x14ac:dyDescent="0.15">
      <c r="B122" s="5"/>
    </row>
    <row r="123" spans="2:2" ht="13" x14ac:dyDescent="0.15">
      <c r="B123" s="5"/>
    </row>
    <row r="124" spans="2:2" ht="13" x14ac:dyDescent="0.15">
      <c r="B124" s="5"/>
    </row>
    <row r="125" spans="2:2" ht="13" x14ac:dyDescent="0.15">
      <c r="B125" s="5"/>
    </row>
    <row r="126" spans="2:2" ht="13" x14ac:dyDescent="0.15">
      <c r="B126" s="5"/>
    </row>
    <row r="127" spans="2:2" ht="13" x14ac:dyDescent="0.15">
      <c r="B127" s="5"/>
    </row>
    <row r="128" spans="2:2" ht="13" x14ac:dyDescent="0.15">
      <c r="B128" s="5"/>
    </row>
    <row r="129" spans="2:2" ht="13" x14ac:dyDescent="0.15">
      <c r="B129" s="5"/>
    </row>
    <row r="130" spans="2:2" ht="13" x14ac:dyDescent="0.15">
      <c r="B130" s="5"/>
    </row>
    <row r="131" spans="2:2" ht="13" x14ac:dyDescent="0.15">
      <c r="B131" s="5"/>
    </row>
    <row r="132" spans="2:2" ht="13" x14ac:dyDescent="0.15">
      <c r="B132" s="5"/>
    </row>
    <row r="133" spans="2:2" ht="13" x14ac:dyDescent="0.15">
      <c r="B133" s="5"/>
    </row>
    <row r="134" spans="2:2" ht="13" x14ac:dyDescent="0.15">
      <c r="B134" s="5"/>
    </row>
    <row r="135" spans="2:2" ht="13" x14ac:dyDescent="0.15">
      <c r="B135" s="5"/>
    </row>
    <row r="136" spans="2:2" ht="13" x14ac:dyDescent="0.15">
      <c r="B136" s="5"/>
    </row>
    <row r="137" spans="2:2" ht="13" x14ac:dyDescent="0.15">
      <c r="B137" s="5"/>
    </row>
    <row r="138" spans="2:2" ht="13" x14ac:dyDescent="0.15">
      <c r="B138" s="5"/>
    </row>
    <row r="139" spans="2:2" ht="13" x14ac:dyDescent="0.15">
      <c r="B139" s="5"/>
    </row>
    <row r="140" spans="2:2" ht="13" x14ac:dyDescent="0.15">
      <c r="B140" s="5"/>
    </row>
    <row r="141" spans="2:2" ht="13" x14ac:dyDescent="0.15">
      <c r="B141" s="5"/>
    </row>
    <row r="142" spans="2:2" ht="13" x14ac:dyDescent="0.15">
      <c r="B142" s="5"/>
    </row>
    <row r="143" spans="2:2" ht="13" x14ac:dyDescent="0.15">
      <c r="B143" s="5"/>
    </row>
    <row r="144" spans="2:2" ht="13" x14ac:dyDescent="0.15">
      <c r="B144" s="5"/>
    </row>
    <row r="145" spans="2:2" ht="13" x14ac:dyDescent="0.15">
      <c r="B145" s="5"/>
    </row>
    <row r="146" spans="2:2" ht="13" x14ac:dyDescent="0.15">
      <c r="B146" s="5"/>
    </row>
    <row r="147" spans="2:2" ht="13" x14ac:dyDescent="0.15">
      <c r="B147" s="5"/>
    </row>
    <row r="148" spans="2:2" ht="13" x14ac:dyDescent="0.15">
      <c r="B148" s="5"/>
    </row>
    <row r="149" spans="2:2" ht="13" x14ac:dyDescent="0.15">
      <c r="B149" s="5"/>
    </row>
    <row r="150" spans="2:2" ht="13" x14ac:dyDescent="0.15">
      <c r="B150" s="5"/>
    </row>
    <row r="151" spans="2:2" ht="13" x14ac:dyDescent="0.15">
      <c r="B151" s="5"/>
    </row>
    <row r="152" spans="2:2" ht="13" x14ac:dyDescent="0.15">
      <c r="B152" s="5"/>
    </row>
    <row r="153" spans="2:2" ht="13" x14ac:dyDescent="0.15">
      <c r="B153" s="5"/>
    </row>
    <row r="154" spans="2:2" ht="13" x14ac:dyDescent="0.15">
      <c r="B154" s="5"/>
    </row>
    <row r="155" spans="2:2" ht="13" x14ac:dyDescent="0.15">
      <c r="B155" s="5"/>
    </row>
    <row r="156" spans="2:2" ht="13" x14ac:dyDescent="0.15">
      <c r="B156" s="5"/>
    </row>
    <row r="157" spans="2:2" ht="13" x14ac:dyDescent="0.15">
      <c r="B157" s="5"/>
    </row>
    <row r="158" spans="2:2" ht="13" x14ac:dyDescent="0.15">
      <c r="B158" s="5"/>
    </row>
    <row r="159" spans="2:2" ht="13" x14ac:dyDescent="0.15">
      <c r="B159" s="5"/>
    </row>
    <row r="160" spans="2:2" ht="13" x14ac:dyDescent="0.15">
      <c r="B160" s="5"/>
    </row>
    <row r="161" spans="2:2" ht="13" x14ac:dyDescent="0.15">
      <c r="B161" s="5"/>
    </row>
    <row r="162" spans="2:2" ht="13" x14ac:dyDescent="0.15">
      <c r="B162" s="5"/>
    </row>
    <row r="163" spans="2:2" ht="13" x14ac:dyDescent="0.15">
      <c r="B163" s="5"/>
    </row>
    <row r="164" spans="2:2" ht="13" x14ac:dyDescent="0.15">
      <c r="B164" s="5"/>
    </row>
    <row r="165" spans="2:2" ht="13" x14ac:dyDescent="0.15">
      <c r="B165" s="5"/>
    </row>
    <row r="166" spans="2:2" ht="13" x14ac:dyDescent="0.15">
      <c r="B166" s="5"/>
    </row>
    <row r="167" spans="2:2" ht="13" x14ac:dyDescent="0.15">
      <c r="B167" s="5"/>
    </row>
    <row r="168" spans="2:2" ht="13" x14ac:dyDescent="0.15">
      <c r="B168" s="5"/>
    </row>
    <row r="169" spans="2:2" ht="13" x14ac:dyDescent="0.15">
      <c r="B169" s="5"/>
    </row>
    <row r="170" spans="2:2" ht="13" x14ac:dyDescent="0.15">
      <c r="B170" s="5"/>
    </row>
    <row r="171" spans="2:2" ht="13" x14ac:dyDescent="0.15">
      <c r="B171" s="5"/>
    </row>
    <row r="172" spans="2:2" ht="13" x14ac:dyDescent="0.15">
      <c r="B172" s="5"/>
    </row>
    <row r="173" spans="2:2" ht="13" x14ac:dyDescent="0.15">
      <c r="B173" s="5"/>
    </row>
    <row r="174" spans="2:2" ht="13" x14ac:dyDescent="0.15">
      <c r="B174" s="5"/>
    </row>
    <row r="175" spans="2:2" ht="13" x14ac:dyDescent="0.15">
      <c r="B175" s="5"/>
    </row>
    <row r="176" spans="2:2" ht="13" x14ac:dyDescent="0.15">
      <c r="B176" s="5"/>
    </row>
    <row r="177" spans="2:2" ht="13" x14ac:dyDescent="0.15">
      <c r="B177" s="5"/>
    </row>
    <row r="178" spans="2:2" ht="13" x14ac:dyDescent="0.15">
      <c r="B178" s="5"/>
    </row>
    <row r="179" spans="2:2" ht="13" x14ac:dyDescent="0.15">
      <c r="B179" s="5"/>
    </row>
    <row r="180" spans="2:2" ht="13" x14ac:dyDescent="0.15">
      <c r="B180" s="5"/>
    </row>
    <row r="181" spans="2:2" ht="13" x14ac:dyDescent="0.15">
      <c r="B181" s="5"/>
    </row>
    <row r="182" spans="2:2" ht="13" x14ac:dyDescent="0.15">
      <c r="B182" s="5"/>
    </row>
    <row r="183" spans="2:2" ht="13" x14ac:dyDescent="0.15">
      <c r="B183" s="5"/>
    </row>
    <row r="184" spans="2:2" ht="13" x14ac:dyDescent="0.15">
      <c r="B184" s="5"/>
    </row>
    <row r="185" spans="2:2" ht="13" x14ac:dyDescent="0.15">
      <c r="B185" s="5"/>
    </row>
    <row r="186" spans="2:2" ht="13" x14ac:dyDescent="0.15">
      <c r="B186" s="5"/>
    </row>
    <row r="187" spans="2:2" ht="13" x14ac:dyDescent="0.15">
      <c r="B187" s="5"/>
    </row>
    <row r="188" spans="2:2" ht="13" x14ac:dyDescent="0.15">
      <c r="B188" s="5"/>
    </row>
    <row r="189" spans="2:2" ht="13" x14ac:dyDescent="0.15">
      <c r="B189" s="5"/>
    </row>
    <row r="190" spans="2:2" ht="13" x14ac:dyDescent="0.15">
      <c r="B190" s="5"/>
    </row>
    <row r="191" spans="2:2" ht="13" x14ac:dyDescent="0.15">
      <c r="B191" s="5"/>
    </row>
    <row r="192" spans="2:2" ht="13" x14ac:dyDescent="0.15">
      <c r="B192" s="5"/>
    </row>
    <row r="193" spans="2:2" ht="13" x14ac:dyDescent="0.15">
      <c r="B193" s="5"/>
    </row>
    <row r="194" spans="2:2" ht="13" x14ac:dyDescent="0.15">
      <c r="B194" s="5"/>
    </row>
    <row r="195" spans="2:2" ht="13" x14ac:dyDescent="0.15">
      <c r="B195" s="5"/>
    </row>
    <row r="196" spans="2:2" ht="13" x14ac:dyDescent="0.15">
      <c r="B196" s="5"/>
    </row>
    <row r="197" spans="2:2" ht="13" x14ac:dyDescent="0.15">
      <c r="B197" s="5"/>
    </row>
    <row r="198" spans="2:2" ht="13" x14ac:dyDescent="0.15">
      <c r="B198" s="5"/>
    </row>
    <row r="199" spans="2:2" ht="13" x14ac:dyDescent="0.15">
      <c r="B199" s="5"/>
    </row>
    <row r="200" spans="2:2" ht="13" x14ac:dyDescent="0.15">
      <c r="B200" s="5"/>
    </row>
    <row r="201" spans="2:2" ht="13" x14ac:dyDescent="0.15">
      <c r="B201" s="5"/>
    </row>
    <row r="202" spans="2:2" ht="13" x14ac:dyDescent="0.15">
      <c r="B202" s="5"/>
    </row>
    <row r="203" spans="2:2" ht="13" x14ac:dyDescent="0.15">
      <c r="B203" s="5"/>
    </row>
    <row r="204" spans="2:2" ht="13" x14ac:dyDescent="0.15">
      <c r="B204" s="5"/>
    </row>
    <row r="205" spans="2:2" ht="13" x14ac:dyDescent="0.15">
      <c r="B205" s="5"/>
    </row>
    <row r="206" spans="2:2" ht="13" x14ac:dyDescent="0.15">
      <c r="B206" s="5"/>
    </row>
    <row r="207" spans="2:2" ht="13" x14ac:dyDescent="0.15">
      <c r="B207" s="5"/>
    </row>
    <row r="208" spans="2:2" ht="13" x14ac:dyDescent="0.15">
      <c r="B208" s="5"/>
    </row>
    <row r="209" spans="2:2" ht="13" x14ac:dyDescent="0.15">
      <c r="B209" s="5"/>
    </row>
    <row r="210" spans="2:2" ht="13" x14ac:dyDescent="0.15">
      <c r="B210" s="5"/>
    </row>
    <row r="211" spans="2:2" ht="13" x14ac:dyDescent="0.15">
      <c r="B211" s="5"/>
    </row>
    <row r="212" spans="2:2" ht="13" x14ac:dyDescent="0.15">
      <c r="B212" s="5"/>
    </row>
    <row r="213" spans="2:2" ht="13" x14ac:dyDescent="0.15">
      <c r="B213" s="5"/>
    </row>
    <row r="214" spans="2:2" ht="13" x14ac:dyDescent="0.15">
      <c r="B214" s="5"/>
    </row>
    <row r="215" spans="2:2" ht="13" x14ac:dyDescent="0.15">
      <c r="B215" s="5"/>
    </row>
    <row r="216" spans="2:2" ht="13" x14ac:dyDescent="0.15">
      <c r="B216" s="5"/>
    </row>
    <row r="217" spans="2:2" ht="13" x14ac:dyDescent="0.15">
      <c r="B217" s="5"/>
    </row>
    <row r="218" spans="2:2" ht="13" x14ac:dyDescent="0.15">
      <c r="B218" s="5"/>
    </row>
    <row r="219" spans="2:2" ht="13" x14ac:dyDescent="0.15">
      <c r="B219" s="5"/>
    </row>
    <row r="220" spans="2:2" ht="13" x14ac:dyDescent="0.15">
      <c r="B220" s="5"/>
    </row>
    <row r="221" spans="2:2" ht="13" x14ac:dyDescent="0.15">
      <c r="B221" s="5"/>
    </row>
    <row r="222" spans="2:2" ht="13" x14ac:dyDescent="0.15">
      <c r="B222" s="5"/>
    </row>
    <row r="223" spans="2:2" ht="13" x14ac:dyDescent="0.15">
      <c r="B223" s="5"/>
    </row>
    <row r="224" spans="2:2" ht="13" x14ac:dyDescent="0.15">
      <c r="B224" s="5"/>
    </row>
    <row r="225" spans="2:2" ht="13" x14ac:dyDescent="0.15">
      <c r="B225" s="5"/>
    </row>
    <row r="226" spans="2:2" ht="13" x14ac:dyDescent="0.15">
      <c r="B226" s="5"/>
    </row>
    <row r="227" spans="2:2" ht="13" x14ac:dyDescent="0.15">
      <c r="B227" s="5"/>
    </row>
    <row r="228" spans="2:2" ht="13" x14ac:dyDescent="0.15">
      <c r="B228" s="5"/>
    </row>
    <row r="229" spans="2:2" ht="13" x14ac:dyDescent="0.15">
      <c r="B229" s="5"/>
    </row>
    <row r="230" spans="2:2" ht="13" x14ac:dyDescent="0.15">
      <c r="B230" s="5"/>
    </row>
    <row r="231" spans="2:2" ht="13" x14ac:dyDescent="0.15">
      <c r="B231" s="5"/>
    </row>
    <row r="232" spans="2:2" ht="13" x14ac:dyDescent="0.15">
      <c r="B232" s="5"/>
    </row>
    <row r="233" spans="2:2" ht="13" x14ac:dyDescent="0.15">
      <c r="B233" s="5"/>
    </row>
    <row r="234" spans="2:2" ht="13" x14ac:dyDescent="0.15">
      <c r="B234" s="5"/>
    </row>
    <row r="235" spans="2:2" ht="13" x14ac:dyDescent="0.15">
      <c r="B235" s="5"/>
    </row>
    <row r="236" spans="2:2" ht="13" x14ac:dyDescent="0.15">
      <c r="B236" s="5"/>
    </row>
    <row r="237" spans="2:2" ht="13" x14ac:dyDescent="0.15">
      <c r="B237" s="5"/>
    </row>
    <row r="238" spans="2:2" ht="13" x14ac:dyDescent="0.15">
      <c r="B238" s="5"/>
    </row>
    <row r="239" spans="2:2" ht="13" x14ac:dyDescent="0.15">
      <c r="B239" s="5"/>
    </row>
    <row r="240" spans="2:2" ht="13" x14ac:dyDescent="0.15">
      <c r="B240" s="5"/>
    </row>
    <row r="241" spans="2:2" ht="13" x14ac:dyDescent="0.15">
      <c r="B241" s="5"/>
    </row>
    <row r="242" spans="2:2" ht="13" x14ac:dyDescent="0.15">
      <c r="B242" s="5"/>
    </row>
    <row r="243" spans="2:2" ht="13" x14ac:dyDescent="0.15">
      <c r="B243" s="5"/>
    </row>
    <row r="244" spans="2:2" ht="13" x14ac:dyDescent="0.15">
      <c r="B244" s="5"/>
    </row>
    <row r="245" spans="2:2" ht="13" x14ac:dyDescent="0.15">
      <c r="B245" s="5"/>
    </row>
    <row r="246" spans="2:2" ht="13" x14ac:dyDescent="0.15">
      <c r="B246" s="5"/>
    </row>
    <row r="247" spans="2:2" ht="13" x14ac:dyDescent="0.15">
      <c r="B247" s="5"/>
    </row>
    <row r="248" spans="2:2" ht="13" x14ac:dyDescent="0.15">
      <c r="B248" s="5"/>
    </row>
    <row r="249" spans="2:2" ht="13" x14ac:dyDescent="0.15">
      <c r="B249" s="5"/>
    </row>
    <row r="250" spans="2:2" ht="13" x14ac:dyDescent="0.15">
      <c r="B250" s="5"/>
    </row>
    <row r="251" spans="2:2" ht="13" x14ac:dyDescent="0.15">
      <c r="B251" s="5"/>
    </row>
    <row r="252" spans="2:2" ht="13" x14ac:dyDescent="0.15">
      <c r="B252" s="5"/>
    </row>
    <row r="253" spans="2:2" ht="13" x14ac:dyDescent="0.15">
      <c r="B253" s="5"/>
    </row>
    <row r="254" spans="2:2" ht="13" x14ac:dyDescent="0.15">
      <c r="B254" s="5"/>
    </row>
    <row r="255" spans="2:2" ht="13" x14ac:dyDescent="0.15">
      <c r="B255" s="5"/>
    </row>
    <row r="256" spans="2:2" ht="13" x14ac:dyDescent="0.15">
      <c r="B256" s="5"/>
    </row>
    <row r="257" spans="2:2" ht="13" x14ac:dyDescent="0.15">
      <c r="B257" s="5"/>
    </row>
    <row r="258" spans="2:2" ht="13" x14ac:dyDescent="0.15">
      <c r="B258" s="5"/>
    </row>
    <row r="259" spans="2:2" ht="13" x14ac:dyDescent="0.15">
      <c r="B259" s="5"/>
    </row>
    <row r="260" spans="2:2" ht="13" x14ac:dyDescent="0.15">
      <c r="B260" s="5"/>
    </row>
    <row r="261" spans="2:2" ht="13" x14ac:dyDescent="0.15">
      <c r="B261" s="5"/>
    </row>
    <row r="262" spans="2:2" ht="13" x14ac:dyDescent="0.15">
      <c r="B262" s="5"/>
    </row>
    <row r="263" spans="2:2" ht="13" x14ac:dyDescent="0.15">
      <c r="B263" s="5"/>
    </row>
    <row r="264" spans="2:2" ht="13" x14ac:dyDescent="0.15">
      <c r="B264" s="5"/>
    </row>
    <row r="265" spans="2:2" ht="13" x14ac:dyDescent="0.15">
      <c r="B265" s="5"/>
    </row>
    <row r="266" spans="2:2" ht="13" x14ac:dyDescent="0.15">
      <c r="B266" s="5"/>
    </row>
    <row r="267" spans="2:2" ht="13" x14ac:dyDescent="0.15">
      <c r="B267" s="5"/>
    </row>
    <row r="268" spans="2:2" ht="13" x14ac:dyDescent="0.15">
      <c r="B268" s="5"/>
    </row>
    <row r="269" spans="2:2" ht="13" x14ac:dyDescent="0.15">
      <c r="B269" s="5"/>
    </row>
    <row r="270" spans="2:2" ht="13" x14ac:dyDescent="0.15">
      <c r="B270" s="5"/>
    </row>
    <row r="271" spans="2:2" ht="13" x14ac:dyDescent="0.15">
      <c r="B271" s="5"/>
    </row>
    <row r="272" spans="2:2" ht="13" x14ac:dyDescent="0.15">
      <c r="B272" s="5"/>
    </row>
    <row r="273" spans="2:2" ht="13" x14ac:dyDescent="0.15">
      <c r="B273" s="5"/>
    </row>
    <row r="274" spans="2:2" ht="13" x14ac:dyDescent="0.15">
      <c r="B274" s="5"/>
    </row>
    <row r="275" spans="2:2" ht="13" x14ac:dyDescent="0.15">
      <c r="B275" s="5"/>
    </row>
    <row r="276" spans="2:2" ht="13" x14ac:dyDescent="0.15">
      <c r="B276" s="5"/>
    </row>
    <row r="277" spans="2:2" ht="13" x14ac:dyDescent="0.15">
      <c r="B277" s="5"/>
    </row>
    <row r="278" spans="2:2" ht="13" x14ac:dyDescent="0.15">
      <c r="B278" s="5"/>
    </row>
    <row r="279" spans="2:2" ht="13" x14ac:dyDescent="0.15">
      <c r="B279" s="5"/>
    </row>
    <row r="280" spans="2:2" ht="13" x14ac:dyDescent="0.15">
      <c r="B280" s="5"/>
    </row>
    <row r="281" spans="2:2" ht="13" x14ac:dyDescent="0.15">
      <c r="B281" s="5"/>
    </row>
    <row r="282" spans="2:2" ht="13" x14ac:dyDescent="0.15">
      <c r="B282" s="5"/>
    </row>
    <row r="283" spans="2:2" ht="13" x14ac:dyDescent="0.15">
      <c r="B283" s="5"/>
    </row>
    <row r="284" spans="2:2" ht="13" x14ac:dyDescent="0.15">
      <c r="B284" s="5"/>
    </row>
    <row r="285" spans="2:2" ht="13" x14ac:dyDescent="0.15">
      <c r="B285" s="5"/>
    </row>
    <row r="286" spans="2:2" ht="13" x14ac:dyDescent="0.15">
      <c r="B286" s="5"/>
    </row>
    <row r="287" spans="2:2" ht="13" x14ac:dyDescent="0.15">
      <c r="B287" s="5"/>
    </row>
    <row r="288" spans="2:2" ht="13" x14ac:dyDescent="0.15">
      <c r="B288" s="5"/>
    </row>
    <row r="289" spans="2:2" ht="13" x14ac:dyDescent="0.15">
      <c r="B289" s="5"/>
    </row>
    <row r="290" spans="2:2" ht="13" x14ac:dyDescent="0.15">
      <c r="B290" s="5"/>
    </row>
    <row r="291" spans="2:2" ht="13" x14ac:dyDescent="0.15">
      <c r="B291" s="5"/>
    </row>
    <row r="292" spans="2:2" ht="13" x14ac:dyDescent="0.15">
      <c r="B292" s="5"/>
    </row>
    <row r="293" spans="2:2" ht="13" x14ac:dyDescent="0.15">
      <c r="B293" s="5"/>
    </row>
    <row r="294" spans="2:2" ht="13" x14ac:dyDescent="0.15">
      <c r="B294" s="5"/>
    </row>
    <row r="295" spans="2:2" ht="13" x14ac:dyDescent="0.15">
      <c r="B295" s="5"/>
    </row>
    <row r="296" spans="2:2" ht="13" x14ac:dyDescent="0.15">
      <c r="B296" s="5"/>
    </row>
    <row r="297" spans="2:2" ht="13" x14ac:dyDescent="0.15">
      <c r="B297" s="5"/>
    </row>
    <row r="298" spans="2:2" ht="13" x14ac:dyDescent="0.15">
      <c r="B298" s="5"/>
    </row>
    <row r="299" spans="2:2" ht="13" x14ac:dyDescent="0.15">
      <c r="B299" s="5"/>
    </row>
    <row r="300" spans="2:2" ht="13" x14ac:dyDescent="0.15">
      <c r="B300" s="5"/>
    </row>
    <row r="301" spans="2:2" ht="13" x14ac:dyDescent="0.15">
      <c r="B301" s="5"/>
    </row>
    <row r="302" spans="2:2" ht="13" x14ac:dyDescent="0.15">
      <c r="B302" s="5"/>
    </row>
    <row r="303" spans="2:2" ht="13" x14ac:dyDescent="0.15">
      <c r="B303" s="5"/>
    </row>
    <row r="304" spans="2:2" ht="13" x14ac:dyDescent="0.15">
      <c r="B304" s="5"/>
    </row>
    <row r="305" spans="2:2" ht="13" x14ac:dyDescent="0.15">
      <c r="B305" s="5"/>
    </row>
    <row r="306" spans="2:2" ht="13" x14ac:dyDescent="0.15">
      <c r="B306" s="5"/>
    </row>
    <row r="307" spans="2:2" ht="13" x14ac:dyDescent="0.15">
      <c r="B307" s="5"/>
    </row>
    <row r="308" spans="2:2" ht="13" x14ac:dyDescent="0.15">
      <c r="B308" s="5"/>
    </row>
    <row r="309" spans="2:2" ht="13" x14ac:dyDescent="0.15">
      <c r="B309" s="5"/>
    </row>
    <row r="310" spans="2:2" ht="13" x14ac:dyDescent="0.15">
      <c r="B310" s="5"/>
    </row>
    <row r="311" spans="2:2" ht="13" x14ac:dyDescent="0.15">
      <c r="B311" s="5"/>
    </row>
    <row r="312" spans="2:2" ht="13" x14ac:dyDescent="0.15">
      <c r="B312" s="5"/>
    </row>
    <row r="313" spans="2:2" ht="13" x14ac:dyDescent="0.15">
      <c r="B313" s="5"/>
    </row>
    <row r="314" spans="2:2" ht="13" x14ac:dyDescent="0.15">
      <c r="B314" s="5"/>
    </row>
    <row r="315" spans="2:2" ht="13" x14ac:dyDescent="0.15">
      <c r="B315" s="5"/>
    </row>
    <row r="316" spans="2:2" ht="13" x14ac:dyDescent="0.15">
      <c r="B316" s="5"/>
    </row>
    <row r="317" spans="2:2" ht="13" x14ac:dyDescent="0.15">
      <c r="B317" s="5"/>
    </row>
    <row r="318" spans="2:2" ht="13" x14ac:dyDescent="0.15">
      <c r="B318" s="5"/>
    </row>
    <row r="319" spans="2:2" ht="13" x14ac:dyDescent="0.15">
      <c r="B319" s="5"/>
    </row>
    <row r="320" spans="2:2" ht="13" x14ac:dyDescent="0.15">
      <c r="B320" s="5"/>
    </row>
    <row r="321" spans="2:2" ht="13" x14ac:dyDescent="0.15">
      <c r="B321" s="5"/>
    </row>
    <row r="322" spans="2:2" ht="13" x14ac:dyDescent="0.15">
      <c r="B322" s="5"/>
    </row>
    <row r="323" spans="2:2" ht="13" x14ac:dyDescent="0.15">
      <c r="B323" s="5"/>
    </row>
    <row r="324" spans="2:2" ht="13" x14ac:dyDescent="0.15">
      <c r="B324" s="5"/>
    </row>
    <row r="325" spans="2:2" ht="13" x14ac:dyDescent="0.15">
      <c r="B325" s="5"/>
    </row>
    <row r="326" spans="2:2" ht="13" x14ac:dyDescent="0.15">
      <c r="B326" s="5"/>
    </row>
    <row r="327" spans="2:2" ht="13" x14ac:dyDescent="0.15">
      <c r="B327" s="5"/>
    </row>
    <row r="328" spans="2:2" ht="13" x14ac:dyDescent="0.15">
      <c r="B328" s="5"/>
    </row>
    <row r="329" spans="2:2" ht="13" x14ac:dyDescent="0.15">
      <c r="B329" s="5"/>
    </row>
    <row r="330" spans="2:2" ht="13" x14ac:dyDescent="0.15">
      <c r="B330" s="5"/>
    </row>
    <row r="331" spans="2:2" ht="13" x14ac:dyDescent="0.15">
      <c r="B331" s="5"/>
    </row>
    <row r="332" spans="2:2" ht="13" x14ac:dyDescent="0.15">
      <c r="B332" s="5"/>
    </row>
    <row r="333" spans="2:2" ht="13" x14ac:dyDescent="0.15">
      <c r="B333" s="5"/>
    </row>
    <row r="334" spans="2:2" ht="13" x14ac:dyDescent="0.15">
      <c r="B334" s="5"/>
    </row>
    <row r="335" spans="2:2" ht="13" x14ac:dyDescent="0.15">
      <c r="B335" s="5"/>
    </row>
    <row r="336" spans="2:2" ht="13" x14ac:dyDescent="0.15">
      <c r="B336" s="5"/>
    </row>
    <row r="337" spans="2:2" ht="13" x14ac:dyDescent="0.15">
      <c r="B337" s="5"/>
    </row>
    <row r="338" spans="2:2" ht="13" x14ac:dyDescent="0.15">
      <c r="B338" s="5"/>
    </row>
    <row r="339" spans="2:2" ht="13" x14ac:dyDescent="0.15">
      <c r="B339" s="5"/>
    </row>
    <row r="340" spans="2:2" ht="13" x14ac:dyDescent="0.15">
      <c r="B340" s="5"/>
    </row>
    <row r="341" spans="2:2" ht="13" x14ac:dyDescent="0.15">
      <c r="B341" s="5"/>
    </row>
    <row r="342" spans="2:2" ht="13" x14ac:dyDescent="0.15">
      <c r="B342" s="5"/>
    </row>
    <row r="343" spans="2:2" ht="13" x14ac:dyDescent="0.15">
      <c r="B343" s="5"/>
    </row>
    <row r="344" spans="2:2" ht="13" x14ac:dyDescent="0.15">
      <c r="B344" s="5"/>
    </row>
    <row r="345" spans="2:2" ht="13" x14ac:dyDescent="0.15">
      <c r="B345" s="5"/>
    </row>
    <row r="346" spans="2:2" ht="13" x14ac:dyDescent="0.15">
      <c r="B346" s="5"/>
    </row>
    <row r="347" spans="2:2" ht="13" x14ac:dyDescent="0.15">
      <c r="B347" s="5"/>
    </row>
    <row r="348" spans="2:2" ht="13" x14ac:dyDescent="0.15">
      <c r="B348" s="5"/>
    </row>
    <row r="349" spans="2:2" ht="13" x14ac:dyDescent="0.15">
      <c r="B349" s="5"/>
    </row>
    <row r="350" spans="2:2" ht="13" x14ac:dyDescent="0.15">
      <c r="B350" s="5"/>
    </row>
    <row r="351" spans="2:2" ht="13" x14ac:dyDescent="0.15">
      <c r="B351" s="5"/>
    </row>
    <row r="352" spans="2:2" ht="13" x14ac:dyDescent="0.15">
      <c r="B352" s="5"/>
    </row>
    <row r="353" spans="2:2" ht="13" x14ac:dyDescent="0.15">
      <c r="B353" s="5"/>
    </row>
    <row r="354" spans="2:2" ht="13" x14ac:dyDescent="0.15">
      <c r="B354" s="5"/>
    </row>
    <row r="355" spans="2:2" ht="13" x14ac:dyDescent="0.15">
      <c r="B355" s="5"/>
    </row>
    <row r="356" spans="2:2" ht="13" x14ac:dyDescent="0.15">
      <c r="B356" s="5"/>
    </row>
    <row r="357" spans="2:2" ht="13" x14ac:dyDescent="0.15">
      <c r="B357" s="5"/>
    </row>
    <row r="358" spans="2:2" ht="13" x14ac:dyDescent="0.15">
      <c r="B358" s="5"/>
    </row>
    <row r="359" spans="2:2" ht="13" x14ac:dyDescent="0.15">
      <c r="B359" s="5"/>
    </row>
    <row r="360" spans="2:2" ht="13" x14ac:dyDescent="0.15">
      <c r="B360" s="5"/>
    </row>
    <row r="361" spans="2:2" ht="13" x14ac:dyDescent="0.15">
      <c r="B361" s="5"/>
    </row>
    <row r="362" spans="2:2" ht="13" x14ac:dyDescent="0.15">
      <c r="B362" s="5"/>
    </row>
    <row r="363" spans="2:2" ht="13" x14ac:dyDescent="0.15">
      <c r="B363" s="5"/>
    </row>
    <row r="364" spans="2:2" ht="13" x14ac:dyDescent="0.15">
      <c r="B364" s="5"/>
    </row>
    <row r="365" spans="2:2" ht="13" x14ac:dyDescent="0.15">
      <c r="B365" s="5"/>
    </row>
    <row r="366" spans="2:2" ht="13" x14ac:dyDescent="0.15">
      <c r="B366" s="5"/>
    </row>
    <row r="367" spans="2:2" ht="13" x14ac:dyDescent="0.15">
      <c r="B367" s="5"/>
    </row>
    <row r="368" spans="2:2" ht="13" x14ac:dyDescent="0.15">
      <c r="B368" s="5"/>
    </row>
    <row r="369" spans="2:2" ht="13" x14ac:dyDescent="0.15">
      <c r="B369" s="5"/>
    </row>
    <row r="370" spans="2:2" ht="13" x14ac:dyDescent="0.15">
      <c r="B370" s="5"/>
    </row>
    <row r="371" spans="2:2" ht="13" x14ac:dyDescent="0.15">
      <c r="B371" s="5"/>
    </row>
    <row r="372" spans="2:2" ht="13" x14ac:dyDescent="0.15">
      <c r="B372" s="5"/>
    </row>
    <row r="373" spans="2:2" ht="13" x14ac:dyDescent="0.15">
      <c r="B373" s="5"/>
    </row>
    <row r="374" spans="2:2" ht="13" x14ac:dyDescent="0.15">
      <c r="B374" s="5"/>
    </row>
    <row r="375" spans="2:2" ht="13" x14ac:dyDescent="0.15">
      <c r="B375" s="5"/>
    </row>
    <row r="376" spans="2:2" ht="13" x14ac:dyDescent="0.15">
      <c r="B376" s="5"/>
    </row>
    <row r="377" spans="2:2" ht="13" x14ac:dyDescent="0.15">
      <c r="B377" s="5"/>
    </row>
    <row r="378" spans="2:2" ht="13" x14ac:dyDescent="0.15">
      <c r="B378" s="5"/>
    </row>
    <row r="379" spans="2:2" ht="13" x14ac:dyDescent="0.15">
      <c r="B379" s="5"/>
    </row>
    <row r="380" spans="2:2" ht="13" x14ac:dyDescent="0.15">
      <c r="B380" s="5"/>
    </row>
    <row r="381" spans="2:2" ht="13" x14ac:dyDescent="0.15">
      <c r="B381" s="5"/>
    </row>
    <row r="382" spans="2:2" ht="13" x14ac:dyDescent="0.15">
      <c r="B382" s="5"/>
    </row>
    <row r="383" spans="2:2" ht="13" x14ac:dyDescent="0.15">
      <c r="B383" s="5"/>
    </row>
    <row r="384" spans="2:2" ht="13" x14ac:dyDescent="0.15">
      <c r="B384" s="5"/>
    </row>
    <row r="385" spans="2:2" ht="13" x14ac:dyDescent="0.15">
      <c r="B385" s="5"/>
    </row>
    <row r="386" spans="2:2" ht="13" x14ac:dyDescent="0.15">
      <c r="B386" s="5"/>
    </row>
    <row r="387" spans="2:2" ht="13" x14ac:dyDescent="0.15">
      <c r="B387" s="5"/>
    </row>
    <row r="388" spans="2:2" ht="13" x14ac:dyDescent="0.15">
      <c r="B388" s="5"/>
    </row>
    <row r="389" spans="2:2" ht="13" x14ac:dyDescent="0.15">
      <c r="B389" s="5"/>
    </row>
    <row r="390" spans="2:2" ht="13" x14ac:dyDescent="0.15">
      <c r="B390" s="5"/>
    </row>
    <row r="391" spans="2:2" ht="13" x14ac:dyDescent="0.15">
      <c r="B391" s="5"/>
    </row>
    <row r="392" spans="2:2" ht="13" x14ac:dyDescent="0.15">
      <c r="B392" s="5"/>
    </row>
    <row r="393" spans="2:2" ht="13" x14ac:dyDescent="0.15">
      <c r="B393" s="5"/>
    </row>
    <row r="394" spans="2:2" ht="13" x14ac:dyDescent="0.15">
      <c r="B394" s="5"/>
    </row>
    <row r="395" spans="2:2" ht="13" x14ac:dyDescent="0.15">
      <c r="B395" s="5"/>
    </row>
    <row r="396" spans="2:2" ht="13" x14ac:dyDescent="0.15">
      <c r="B396" s="5"/>
    </row>
    <row r="397" spans="2:2" ht="13" x14ac:dyDescent="0.15">
      <c r="B397" s="5"/>
    </row>
    <row r="398" spans="2:2" ht="13" x14ac:dyDescent="0.15">
      <c r="B398" s="5"/>
    </row>
    <row r="399" spans="2:2" ht="13" x14ac:dyDescent="0.15">
      <c r="B399" s="5"/>
    </row>
    <row r="400" spans="2:2" ht="13" x14ac:dyDescent="0.15">
      <c r="B400" s="5"/>
    </row>
    <row r="401" spans="2:2" ht="13" x14ac:dyDescent="0.15">
      <c r="B401" s="5"/>
    </row>
    <row r="402" spans="2:2" ht="13" x14ac:dyDescent="0.15">
      <c r="B402" s="5"/>
    </row>
    <row r="403" spans="2:2" ht="13" x14ac:dyDescent="0.15">
      <c r="B403" s="5"/>
    </row>
    <row r="404" spans="2:2" ht="13" x14ac:dyDescent="0.15">
      <c r="B404" s="5"/>
    </row>
    <row r="405" spans="2:2" ht="13" x14ac:dyDescent="0.15">
      <c r="B405" s="5"/>
    </row>
    <row r="406" spans="2:2" ht="13" x14ac:dyDescent="0.15">
      <c r="B406" s="5"/>
    </row>
    <row r="407" spans="2:2" ht="13" x14ac:dyDescent="0.15">
      <c r="B407" s="5"/>
    </row>
    <row r="408" spans="2:2" ht="13" x14ac:dyDescent="0.15">
      <c r="B408" s="5"/>
    </row>
    <row r="409" spans="2:2" ht="13" x14ac:dyDescent="0.15">
      <c r="B409" s="5"/>
    </row>
    <row r="410" spans="2:2" ht="13" x14ac:dyDescent="0.15">
      <c r="B410" s="5"/>
    </row>
    <row r="411" spans="2:2" ht="13" x14ac:dyDescent="0.15">
      <c r="B411" s="5"/>
    </row>
    <row r="412" spans="2:2" ht="13" x14ac:dyDescent="0.15">
      <c r="B412" s="5"/>
    </row>
    <row r="413" spans="2:2" ht="13" x14ac:dyDescent="0.15">
      <c r="B413" s="5"/>
    </row>
    <row r="414" spans="2:2" ht="13" x14ac:dyDescent="0.15">
      <c r="B414" s="5"/>
    </row>
    <row r="415" spans="2:2" ht="13" x14ac:dyDescent="0.15">
      <c r="B415" s="5"/>
    </row>
    <row r="416" spans="2:2" ht="13" x14ac:dyDescent="0.15">
      <c r="B416" s="5"/>
    </row>
    <row r="417" spans="2:2" ht="13" x14ac:dyDescent="0.15">
      <c r="B417" s="5"/>
    </row>
    <row r="418" spans="2:2" ht="13" x14ac:dyDescent="0.15">
      <c r="B418" s="5"/>
    </row>
    <row r="419" spans="2:2" ht="13" x14ac:dyDescent="0.15">
      <c r="B419" s="5"/>
    </row>
    <row r="420" spans="2:2" ht="13" x14ac:dyDescent="0.15">
      <c r="B420" s="5"/>
    </row>
    <row r="421" spans="2:2" ht="13" x14ac:dyDescent="0.15">
      <c r="B421" s="5"/>
    </row>
    <row r="422" spans="2:2" ht="13" x14ac:dyDescent="0.15">
      <c r="B422" s="5"/>
    </row>
    <row r="423" spans="2:2" ht="13" x14ac:dyDescent="0.15">
      <c r="B423" s="5"/>
    </row>
    <row r="424" spans="2:2" ht="13" x14ac:dyDescent="0.15">
      <c r="B424" s="5"/>
    </row>
    <row r="425" spans="2:2" ht="13" x14ac:dyDescent="0.15">
      <c r="B425" s="5"/>
    </row>
    <row r="426" spans="2:2" ht="13" x14ac:dyDescent="0.15">
      <c r="B426" s="5"/>
    </row>
    <row r="427" spans="2:2" ht="13" x14ac:dyDescent="0.15">
      <c r="B427" s="5"/>
    </row>
    <row r="428" spans="2:2" ht="13" x14ac:dyDescent="0.15">
      <c r="B428" s="5"/>
    </row>
    <row r="429" spans="2:2" ht="13" x14ac:dyDescent="0.15">
      <c r="B429" s="5"/>
    </row>
    <row r="430" spans="2:2" ht="13" x14ac:dyDescent="0.15">
      <c r="B430" s="5"/>
    </row>
    <row r="431" spans="2:2" ht="13" x14ac:dyDescent="0.15">
      <c r="B431" s="5"/>
    </row>
    <row r="432" spans="2:2" ht="13" x14ac:dyDescent="0.15">
      <c r="B432" s="5"/>
    </row>
    <row r="433" spans="2:2" ht="13" x14ac:dyDescent="0.15">
      <c r="B433" s="5"/>
    </row>
    <row r="434" spans="2:2" ht="13" x14ac:dyDescent="0.15">
      <c r="B434" s="5"/>
    </row>
    <row r="435" spans="2:2" ht="13" x14ac:dyDescent="0.15">
      <c r="B435" s="5"/>
    </row>
    <row r="436" spans="2:2" ht="13" x14ac:dyDescent="0.15">
      <c r="B436" s="5"/>
    </row>
    <row r="437" spans="2:2" ht="13" x14ac:dyDescent="0.15">
      <c r="B437" s="5"/>
    </row>
    <row r="438" spans="2:2" ht="13" x14ac:dyDescent="0.15">
      <c r="B438" s="5"/>
    </row>
    <row r="439" spans="2:2" ht="13" x14ac:dyDescent="0.15">
      <c r="B439" s="5"/>
    </row>
    <row r="440" spans="2:2" ht="13" x14ac:dyDescent="0.15">
      <c r="B440" s="5"/>
    </row>
    <row r="441" spans="2:2" ht="13" x14ac:dyDescent="0.15">
      <c r="B441" s="5"/>
    </row>
    <row r="442" spans="2:2" ht="13" x14ac:dyDescent="0.15">
      <c r="B442" s="5"/>
    </row>
    <row r="443" spans="2:2" ht="13" x14ac:dyDescent="0.15">
      <c r="B443" s="5"/>
    </row>
    <row r="444" spans="2:2" ht="13" x14ac:dyDescent="0.15">
      <c r="B444" s="5"/>
    </row>
    <row r="445" spans="2:2" ht="13" x14ac:dyDescent="0.15">
      <c r="B445" s="5"/>
    </row>
    <row r="446" spans="2:2" ht="13" x14ac:dyDescent="0.15">
      <c r="B446" s="5"/>
    </row>
    <row r="447" spans="2:2" ht="13" x14ac:dyDescent="0.15">
      <c r="B447" s="5"/>
    </row>
    <row r="448" spans="2:2" ht="13" x14ac:dyDescent="0.15">
      <c r="B448" s="5"/>
    </row>
    <row r="449" spans="2:2" ht="13" x14ac:dyDescent="0.15">
      <c r="B449" s="5"/>
    </row>
    <row r="450" spans="2:2" ht="13" x14ac:dyDescent="0.15">
      <c r="B450" s="5"/>
    </row>
    <row r="451" spans="2:2" ht="13" x14ac:dyDescent="0.15">
      <c r="B451" s="5"/>
    </row>
    <row r="452" spans="2:2" ht="13" x14ac:dyDescent="0.15">
      <c r="B452" s="5"/>
    </row>
    <row r="453" spans="2:2" ht="13" x14ac:dyDescent="0.15">
      <c r="B453" s="5"/>
    </row>
    <row r="454" spans="2:2" ht="13" x14ac:dyDescent="0.15">
      <c r="B454" s="5"/>
    </row>
    <row r="455" spans="2:2" ht="13" x14ac:dyDescent="0.15">
      <c r="B455" s="5"/>
    </row>
    <row r="456" spans="2:2" ht="13" x14ac:dyDescent="0.15">
      <c r="B456" s="5"/>
    </row>
    <row r="457" spans="2:2" ht="13" x14ac:dyDescent="0.15">
      <c r="B457" s="5"/>
    </row>
    <row r="458" spans="2:2" ht="13" x14ac:dyDescent="0.15">
      <c r="B458" s="5"/>
    </row>
    <row r="459" spans="2:2" ht="13" x14ac:dyDescent="0.15">
      <c r="B459" s="5"/>
    </row>
    <row r="460" spans="2:2" ht="13" x14ac:dyDescent="0.15">
      <c r="B460" s="5"/>
    </row>
    <row r="461" spans="2:2" ht="13" x14ac:dyDescent="0.15">
      <c r="B461" s="5"/>
    </row>
    <row r="462" spans="2:2" ht="13" x14ac:dyDescent="0.15">
      <c r="B462" s="5"/>
    </row>
    <row r="463" spans="2:2" ht="13" x14ac:dyDescent="0.15">
      <c r="B463" s="5"/>
    </row>
    <row r="464" spans="2:2" ht="13" x14ac:dyDescent="0.15">
      <c r="B464" s="5"/>
    </row>
    <row r="465" spans="2:2" ht="13" x14ac:dyDescent="0.15">
      <c r="B465" s="5"/>
    </row>
    <row r="466" spans="2:2" ht="13" x14ac:dyDescent="0.15">
      <c r="B466" s="5"/>
    </row>
    <row r="467" spans="2:2" ht="13" x14ac:dyDescent="0.15">
      <c r="B467" s="5"/>
    </row>
    <row r="468" spans="2:2" ht="13" x14ac:dyDescent="0.15">
      <c r="B468" s="5"/>
    </row>
    <row r="469" spans="2:2" ht="13" x14ac:dyDescent="0.15">
      <c r="B469" s="5"/>
    </row>
    <row r="470" spans="2:2" ht="13" x14ac:dyDescent="0.15">
      <c r="B470" s="5"/>
    </row>
    <row r="471" spans="2:2" ht="13" x14ac:dyDescent="0.15">
      <c r="B471" s="5"/>
    </row>
    <row r="472" spans="2:2" ht="13" x14ac:dyDescent="0.15">
      <c r="B472" s="5"/>
    </row>
    <row r="473" spans="2:2" ht="13" x14ac:dyDescent="0.15">
      <c r="B473" s="5"/>
    </row>
    <row r="474" spans="2:2" ht="13" x14ac:dyDescent="0.15">
      <c r="B474" s="5"/>
    </row>
    <row r="475" spans="2:2" ht="13" x14ac:dyDescent="0.15">
      <c r="B475" s="5"/>
    </row>
    <row r="476" spans="2:2" ht="13" x14ac:dyDescent="0.15">
      <c r="B476" s="5"/>
    </row>
    <row r="477" spans="2:2" ht="13" x14ac:dyDescent="0.15">
      <c r="B477" s="5"/>
    </row>
    <row r="478" spans="2:2" ht="13" x14ac:dyDescent="0.15">
      <c r="B478" s="5"/>
    </row>
    <row r="479" spans="2:2" ht="13" x14ac:dyDescent="0.15">
      <c r="B479" s="5"/>
    </row>
    <row r="480" spans="2:2" ht="13" x14ac:dyDescent="0.15">
      <c r="B480" s="5"/>
    </row>
    <row r="481" spans="2:2" ht="13" x14ac:dyDescent="0.15">
      <c r="B481" s="5"/>
    </row>
    <row r="482" spans="2:2" ht="13" x14ac:dyDescent="0.15">
      <c r="B482" s="5"/>
    </row>
    <row r="483" spans="2:2" ht="13" x14ac:dyDescent="0.15">
      <c r="B483" s="5"/>
    </row>
    <row r="484" spans="2:2" ht="13" x14ac:dyDescent="0.15">
      <c r="B484" s="5"/>
    </row>
    <row r="485" spans="2:2" ht="13" x14ac:dyDescent="0.15">
      <c r="B485" s="5"/>
    </row>
    <row r="486" spans="2:2" ht="13" x14ac:dyDescent="0.15">
      <c r="B486" s="5"/>
    </row>
    <row r="487" spans="2:2" ht="13" x14ac:dyDescent="0.15">
      <c r="B487" s="5"/>
    </row>
    <row r="488" spans="2:2" ht="13" x14ac:dyDescent="0.15">
      <c r="B488" s="5"/>
    </row>
    <row r="489" spans="2:2" ht="13" x14ac:dyDescent="0.15">
      <c r="B489" s="5"/>
    </row>
    <row r="490" spans="2:2" ht="13" x14ac:dyDescent="0.15">
      <c r="B490" s="5"/>
    </row>
    <row r="491" spans="2:2" ht="13" x14ac:dyDescent="0.15">
      <c r="B491" s="5"/>
    </row>
    <row r="492" spans="2:2" ht="13" x14ac:dyDescent="0.15">
      <c r="B492" s="5"/>
    </row>
    <row r="493" spans="2:2" ht="13" x14ac:dyDescent="0.15">
      <c r="B493" s="5"/>
    </row>
    <row r="494" spans="2:2" ht="13" x14ac:dyDescent="0.15">
      <c r="B494" s="5"/>
    </row>
    <row r="495" spans="2:2" ht="13" x14ac:dyDescent="0.15">
      <c r="B495" s="5"/>
    </row>
    <row r="496" spans="2:2" ht="13" x14ac:dyDescent="0.15">
      <c r="B496" s="5"/>
    </row>
    <row r="497" spans="2:2" ht="13" x14ac:dyDescent="0.15">
      <c r="B497" s="5"/>
    </row>
    <row r="498" spans="2:2" ht="13" x14ac:dyDescent="0.15">
      <c r="B498" s="5"/>
    </row>
    <row r="499" spans="2:2" ht="13" x14ac:dyDescent="0.15">
      <c r="B499" s="5"/>
    </row>
    <row r="500" spans="2:2" ht="13" x14ac:dyDescent="0.15">
      <c r="B500" s="5"/>
    </row>
    <row r="501" spans="2:2" ht="13" x14ac:dyDescent="0.15">
      <c r="B501" s="5"/>
    </row>
    <row r="502" spans="2:2" ht="13" x14ac:dyDescent="0.15">
      <c r="B502" s="5"/>
    </row>
    <row r="503" spans="2:2" ht="13" x14ac:dyDescent="0.15">
      <c r="B503" s="5"/>
    </row>
    <row r="504" spans="2:2" ht="13" x14ac:dyDescent="0.15">
      <c r="B504" s="5"/>
    </row>
    <row r="505" spans="2:2" ht="13" x14ac:dyDescent="0.15">
      <c r="B505" s="5"/>
    </row>
    <row r="506" spans="2:2" ht="13" x14ac:dyDescent="0.15">
      <c r="B506" s="5"/>
    </row>
    <row r="507" spans="2:2" ht="13" x14ac:dyDescent="0.15">
      <c r="B507" s="5"/>
    </row>
    <row r="508" spans="2:2" ht="13" x14ac:dyDescent="0.15">
      <c r="B508" s="5"/>
    </row>
    <row r="509" spans="2:2" ht="13" x14ac:dyDescent="0.15">
      <c r="B509" s="5"/>
    </row>
    <row r="510" spans="2:2" ht="13" x14ac:dyDescent="0.15">
      <c r="B510" s="5"/>
    </row>
    <row r="511" spans="2:2" ht="13" x14ac:dyDescent="0.15">
      <c r="B511" s="5"/>
    </row>
    <row r="512" spans="2:2" ht="13" x14ac:dyDescent="0.15">
      <c r="B512" s="5"/>
    </row>
    <row r="513" spans="2:2" ht="13" x14ac:dyDescent="0.15">
      <c r="B513" s="5"/>
    </row>
    <row r="514" spans="2:2" ht="13" x14ac:dyDescent="0.15">
      <c r="B514" s="5"/>
    </row>
    <row r="515" spans="2:2" ht="13" x14ac:dyDescent="0.15">
      <c r="B515" s="5"/>
    </row>
    <row r="516" spans="2:2" ht="13" x14ac:dyDescent="0.15">
      <c r="B516" s="5"/>
    </row>
    <row r="517" spans="2:2" ht="13" x14ac:dyDescent="0.15">
      <c r="B517" s="5"/>
    </row>
    <row r="518" spans="2:2" ht="13" x14ac:dyDescent="0.15">
      <c r="B518" s="5"/>
    </row>
    <row r="519" spans="2:2" ht="13" x14ac:dyDescent="0.15">
      <c r="B519" s="5"/>
    </row>
    <row r="520" spans="2:2" ht="13" x14ac:dyDescent="0.15">
      <c r="B520" s="5"/>
    </row>
    <row r="521" spans="2:2" ht="13" x14ac:dyDescent="0.15">
      <c r="B521" s="5"/>
    </row>
    <row r="522" spans="2:2" ht="13" x14ac:dyDescent="0.15">
      <c r="B522" s="5"/>
    </row>
    <row r="523" spans="2:2" ht="13" x14ac:dyDescent="0.15">
      <c r="B523" s="5"/>
    </row>
    <row r="524" spans="2:2" ht="13" x14ac:dyDescent="0.15">
      <c r="B524" s="5"/>
    </row>
    <row r="525" spans="2:2" ht="13" x14ac:dyDescent="0.15">
      <c r="B525" s="5"/>
    </row>
    <row r="526" spans="2:2" ht="13" x14ac:dyDescent="0.15">
      <c r="B526" s="5"/>
    </row>
    <row r="527" spans="2:2" ht="13" x14ac:dyDescent="0.15">
      <c r="B527" s="5"/>
    </row>
    <row r="528" spans="2:2" ht="13" x14ac:dyDescent="0.15">
      <c r="B528" s="5"/>
    </row>
    <row r="529" spans="2:2" ht="13" x14ac:dyDescent="0.15">
      <c r="B529" s="5"/>
    </row>
    <row r="530" spans="2:2" ht="13" x14ac:dyDescent="0.15">
      <c r="B530" s="5"/>
    </row>
    <row r="531" spans="2:2" ht="13" x14ac:dyDescent="0.15">
      <c r="B531" s="5"/>
    </row>
    <row r="532" spans="2:2" ht="13" x14ac:dyDescent="0.15">
      <c r="B532" s="5"/>
    </row>
    <row r="533" spans="2:2" ht="13" x14ac:dyDescent="0.15">
      <c r="B533" s="5"/>
    </row>
    <row r="534" spans="2:2" ht="13" x14ac:dyDescent="0.15">
      <c r="B534" s="5"/>
    </row>
    <row r="535" spans="2:2" ht="13" x14ac:dyDescent="0.15">
      <c r="B535" s="5"/>
    </row>
    <row r="536" spans="2:2" ht="13" x14ac:dyDescent="0.15">
      <c r="B536" s="5"/>
    </row>
    <row r="537" spans="2:2" ht="13" x14ac:dyDescent="0.15">
      <c r="B537" s="5"/>
    </row>
    <row r="538" spans="2:2" ht="13" x14ac:dyDescent="0.15">
      <c r="B538" s="5"/>
    </row>
    <row r="539" spans="2:2" ht="13" x14ac:dyDescent="0.15">
      <c r="B539" s="5"/>
    </row>
    <row r="540" spans="2:2" ht="13" x14ac:dyDescent="0.15">
      <c r="B540" s="5"/>
    </row>
    <row r="541" spans="2:2" ht="13" x14ac:dyDescent="0.15">
      <c r="B541" s="5"/>
    </row>
    <row r="542" spans="2:2" ht="13" x14ac:dyDescent="0.15">
      <c r="B542" s="5"/>
    </row>
    <row r="543" spans="2:2" ht="13" x14ac:dyDescent="0.15">
      <c r="B543" s="5"/>
    </row>
    <row r="544" spans="2:2" ht="13" x14ac:dyDescent="0.15">
      <c r="B544" s="5"/>
    </row>
    <row r="545" spans="2:2" ht="13" x14ac:dyDescent="0.15">
      <c r="B545" s="5"/>
    </row>
    <row r="546" spans="2:2" ht="13" x14ac:dyDescent="0.15">
      <c r="B546" s="5"/>
    </row>
    <row r="547" spans="2:2" ht="13" x14ac:dyDescent="0.15">
      <c r="B547" s="5"/>
    </row>
    <row r="548" spans="2:2" ht="13" x14ac:dyDescent="0.15">
      <c r="B548" s="5"/>
    </row>
    <row r="549" spans="2:2" ht="13" x14ac:dyDescent="0.15">
      <c r="B549" s="5"/>
    </row>
    <row r="550" spans="2:2" ht="13" x14ac:dyDescent="0.15">
      <c r="B550" s="5"/>
    </row>
    <row r="551" spans="2:2" ht="13" x14ac:dyDescent="0.15">
      <c r="B551" s="5"/>
    </row>
    <row r="552" spans="2:2" ht="13" x14ac:dyDescent="0.15">
      <c r="B552" s="5"/>
    </row>
    <row r="553" spans="2:2" ht="13" x14ac:dyDescent="0.15">
      <c r="B553" s="5"/>
    </row>
    <row r="554" spans="2:2" ht="13" x14ac:dyDescent="0.15">
      <c r="B554" s="5"/>
    </row>
    <row r="555" spans="2:2" ht="13" x14ac:dyDescent="0.15">
      <c r="B555" s="5"/>
    </row>
    <row r="556" spans="2:2" ht="13" x14ac:dyDescent="0.15">
      <c r="B556" s="5"/>
    </row>
    <row r="557" spans="2:2" ht="13" x14ac:dyDescent="0.15">
      <c r="B557" s="5"/>
    </row>
    <row r="558" spans="2:2" ht="13" x14ac:dyDescent="0.15">
      <c r="B558" s="5"/>
    </row>
    <row r="559" spans="2:2" ht="13" x14ac:dyDescent="0.15">
      <c r="B559" s="5"/>
    </row>
    <row r="560" spans="2:2" ht="13" x14ac:dyDescent="0.15">
      <c r="B560" s="5"/>
    </row>
    <row r="561" spans="2:2" ht="13" x14ac:dyDescent="0.15">
      <c r="B561" s="5"/>
    </row>
    <row r="562" spans="2:2" ht="13" x14ac:dyDescent="0.15">
      <c r="B562" s="5"/>
    </row>
    <row r="563" spans="2:2" ht="13" x14ac:dyDescent="0.15">
      <c r="B563" s="5"/>
    </row>
    <row r="564" spans="2:2" ht="13" x14ac:dyDescent="0.15">
      <c r="B564" s="5"/>
    </row>
    <row r="565" spans="2:2" ht="13" x14ac:dyDescent="0.15">
      <c r="B565" s="5"/>
    </row>
    <row r="566" spans="2:2" ht="13" x14ac:dyDescent="0.15">
      <c r="B566" s="5"/>
    </row>
    <row r="567" spans="2:2" ht="13" x14ac:dyDescent="0.15">
      <c r="B567" s="5"/>
    </row>
    <row r="568" spans="2:2" ht="13" x14ac:dyDescent="0.15">
      <c r="B568" s="5"/>
    </row>
    <row r="569" spans="2:2" ht="13" x14ac:dyDescent="0.15">
      <c r="B569" s="5"/>
    </row>
    <row r="570" spans="2:2" ht="13" x14ac:dyDescent="0.15">
      <c r="B570" s="5"/>
    </row>
    <row r="571" spans="2:2" ht="13" x14ac:dyDescent="0.15">
      <c r="B571" s="5"/>
    </row>
    <row r="572" spans="2:2" ht="13" x14ac:dyDescent="0.15">
      <c r="B572" s="5"/>
    </row>
    <row r="573" spans="2:2" ht="13" x14ac:dyDescent="0.15">
      <c r="B573" s="5"/>
    </row>
    <row r="574" spans="2:2" ht="13" x14ac:dyDescent="0.15">
      <c r="B574" s="5"/>
    </row>
    <row r="575" spans="2:2" ht="13" x14ac:dyDescent="0.15">
      <c r="B575" s="5"/>
    </row>
    <row r="576" spans="2:2" ht="13" x14ac:dyDescent="0.15">
      <c r="B576" s="5"/>
    </row>
    <row r="577" spans="2:2" ht="13" x14ac:dyDescent="0.15">
      <c r="B577" s="5"/>
    </row>
    <row r="578" spans="2:2" ht="13" x14ac:dyDescent="0.15">
      <c r="B578" s="5"/>
    </row>
    <row r="579" spans="2:2" ht="13" x14ac:dyDescent="0.15">
      <c r="B579" s="5"/>
    </row>
    <row r="580" spans="2:2" ht="13" x14ac:dyDescent="0.15">
      <c r="B580" s="5"/>
    </row>
    <row r="581" spans="2:2" ht="13" x14ac:dyDescent="0.15">
      <c r="B581" s="5"/>
    </row>
    <row r="582" spans="2:2" ht="13" x14ac:dyDescent="0.15">
      <c r="B582" s="5"/>
    </row>
    <row r="583" spans="2:2" ht="13" x14ac:dyDescent="0.15">
      <c r="B583" s="5"/>
    </row>
    <row r="584" spans="2:2" ht="13" x14ac:dyDescent="0.15">
      <c r="B584" s="5"/>
    </row>
    <row r="585" spans="2:2" ht="13" x14ac:dyDescent="0.15">
      <c r="B585" s="5"/>
    </row>
    <row r="586" spans="2:2" ht="13" x14ac:dyDescent="0.15">
      <c r="B586" s="5"/>
    </row>
    <row r="587" spans="2:2" ht="13" x14ac:dyDescent="0.15">
      <c r="B587" s="5"/>
    </row>
    <row r="588" spans="2:2" ht="13" x14ac:dyDescent="0.15">
      <c r="B588" s="5"/>
    </row>
    <row r="589" spans="2:2" ht="13" x14ac:dyDescent="0.15">
      <c r="B589" s="5"/>
    </row>
    <row r="590" spans="2:2" ht="13" x14ac:dyDescent="0.15">
      <c r="B590" s="5"/>
    </row>
    <row r="591" spans="2:2" ht="13" x14ac:dyDescent="0.15">
      <c r="B591" s="5"/>
    </row>
    <row r="592" spans="2:2" ht="13" x14ac:dyDescent="0.15">
      <c r="B592" s="5"/>
    </row>
    <row r="593" spans="2:2" ht="13" x14ac:dyDescent="0.15">
      <c r="B593" s="5"/>
    </row>
    <row r="594" spans="2:2" ht="13" x14ac:dyDescent="0.15">
      <c r="B594" s="5"/>
    </row>
    <row r="595" spans="2:2" ht="13" x14ac:dyDescent="0.15">
      <c r="B595" s="5"/>
    </row>
    <row r="596" spans="2:2" ht="13" x14ac:dyDescent="0.15">
      <c r="B596" s="5"/>
    </row>
    <row r="597" spans="2:2" ht="13" x14ac:dyDescent="0.15">
      <c r="B597" s="5"/>
    </row>
    <row r="598" spans="2:2" ht="13" x14ac:dyDescent="0.15">
      <c r="B598" s="5"/>
    </row>
    <row r="599" spans="2:2" ht="13" x14ac:dyDescent="0.15">
      <c r="B599" s="5"/>
    </row>
    <row r="600" spans="2:2" ht="13" x14ac:dyDescent="0.15">
      <c r="B600" s="5"/>
    </row>
    <row r="601" spans="2:2" ht="13" x14ac:dyDescent="0.15">
      <c r="B601" s="5"/>
    </row>
    <row r="602" spans="2:2" ht="13" x14ac:dyDescent="0.15">
      <c r="B602" s="5"/>
    </row>
    <row r="603" spans="2:2" ht="13" x14ac:dyDescent="0.15">
      <c r="B603" s="5"/>
    </row>
    <row r="604" spans="2:2" ht="13" x14ac:dyDescent="0.15">
      <c r="B604" s="5"/>
    </row>
    <row r="605" spans="2:2" ht="13" x14ac:dyDescent="0.15">
      <c r="B605" s="5"/>
    </row>
    <row r="606" spans="2:2" ht="13" x14ac:dyDescent="0.15">
      <c r="B606" s="5"/>
    </row>
    <row r="607" spans="2:2" ht="13" x14ac:dyDescent="0.15">
      <c r="B607" s="5"/>
    </row>
    <row r="608" spans="2:2" ht="13" x14ac:dyDescent="0.15">
      <c r="B608" s="5"/>
    </row>
    <row r="609" spans="2:2" ht="13" x14ac:dyDescent="0.15">
      <c r="B609" s="5"/>
    </row>
    <row r="610" spans="2:2" ht="13" x14ac:dyDescent="0.15">
      <c r="B610" s="5"/>
    </row>
    <row r="611" spans="2:2" ht="13" x14ac:dyDescent="0.15">
      <c r="B611" s="5"/>
    </row>
    <row r="612" spans="2:2" ht="13" x14ac:dyDescent="0.15">
      <c r="B612" s="5"/>
    </row>
    <row r="613" spans="2:2" ht="13" x14ac:dyDescent="0.15">
      <c r="B613" s="5"/>
    </row>
    <row r="614" spans="2:2" ht="13" x14ac:dyDescent="0.15">
      <c r="B614" s="5"/>
    </row>
    <row r="615" spans="2:2" ht="13" x14ac:dyDescent="0.15">
      <c r="B615" s="5"/>
    </row>
    <row r="616" spans="2:2" ht="13" x14ac:dyDescent="0.15">
      <c r="B616" s="5"/>
    </row>
    <row r="617" spans="2:2" ht="13" x14ac:dyDescent="0.15">
      <c r="B617" s="5"/>
    </row>
    <row r="618" spans="2:2" ht="13" x14ac:dyDescent="0.15">
      <c r="B618" s="5"/>
    </row>
    <row r="619" spans="2:2" ht="13" x14ac:dyDescent="0.15">
      <c r="B619" s="5"/>
    </row>
    <row r="620" spans="2:2" ht="13" x14ac:dyDescent="0.15">
      <c r="B620" s="5"/>
    </row>
    <row r="621" spans="2:2" ht="13" x14ac:dyDescent="0.15">
      <c r="B621" s="5"/>
    </row>
    <row r="622" spans="2:2" ht="13" x14ac:dyDescent="0.15">
      <c r="B622" s="5"/>
    </row>
    <row r="623" spans="2:2" ht="13" x14ac:dyDescent="0.15">
      <c r="B623" s="5"/>
    </row>
    <row r="624" spans="2:2" ht="13" x14ac:dyDescent="0.15">
      <c r="B624" s="5"/>
    </row>
    <row r="625" spans="2:2" ht="13" x14ac:dyDescent="0.15">
      <c r="B625" s="5"/>
    </row>
    <row r="626" spans="2:2" ht="13" x14ac:dyDescent="0.15">
      <c r="B626" s="5"/>
    </row>
    <row r="627" spans="2:2" ht="13" x14ac:dyDescent="0.15">
      <c r="B627" s="5"/>
    </row>
    <row r="628" spans="2:2" ht="13" x14ac:dyDescent="0.15">
      <c r="B628" s="5"/>
    </row>
    <row r="629" spans="2:2" ht="13" x14ac:dyDescent="0.15">
      <c r="B629" s="5"/>
    </row>
    <row r="630" spans="2:2" ht="13" x14ac:dyDescent="0.15">
      <c r="B630" s="5"/>
    </row>
    <row r="631" spans="2:2" ht="13" x14ac:dyDescent="0.15">
      <c r="B631" s="5"/>
    </row>
    <row r="632" spans="2:2" ht="13" x14ac:dyDescent="0.15">
      <c r="B632" s="5"/>
    </row>
    <row r="633" spans="2:2" ht="13" x14ac:dyDescent="0.15">
      <c r="B633" s="5"/>
    </row>
    <row r="634" spans="2:2" ht="13" x14ac:dyDescent="0.15">
      <c r="B634" s="5"/>
    </row>
    <row r="635" spans="2:2" ht="13" x14ac:dyDescent="0.15">
      <c r="B635" s="5"/>
    </row>
    <row r="636" spans="2:2" ht="13" x14ac:dyDescent="0.15">
      <c r="B636" s="5"/>
    </row>
    <row r="637" spans="2:2" ht="13" x14ac:dyDescent="0.15">
      <c r="B637" s="5"/>
    </row>
    <row r="638" spans="2:2" ht="13" x14ac:dyDescent="0.15">
      <c r="B638" s="5"/>
    </row>
    <row r="639" spans="2:2" ht="13" x14ac:dyDescent="0.15">
      <c r="B639" s="5"/>
    </row>
    <row r="640" spans="2:2" ht="13" x14ac:dyDescent="0.15">
      <c r="B640" s="5"/>
    </row>
    <row r="641" spans="2:2" ht="13" x14ac:dyDescent="0.15">
      <c r="B641" s="5"/>
    </row>
    <row r="642" spans="2:2" ht="13" x14ac:dyDescent="0.15">
      <c r="B642" s="5"/>
    </row>
    <row r="643" spans="2:2" ht="13" x14ac:dyDescent="0.15">
      <c r="B643" s="5"/>
    </row>
    <row r="644" spans="2:2" ht="13" x14ac:dyDescent="0.15">
      <c r="B644" s="5"/>
    </row>
    <row r="645" spans="2:2" ht="13" x14ac:dyDescent="0.15">
      <c r="B645" s="5"/>
    </row>
    <row r="646" spans="2:2" ht="13" x14ac:dyDescent="0.15">
      <c r="B646" s="5"/>
    </row>
    <row r="647" spans="2:2" ht="13" x14ac:dyDescent="0.15">
      <c r="B647" s="5"/>
    </row>
    <row r="648" spans="2:2" ht="13" x14ac:dyDescent="0.15">
      <c r="B648" s="5"/>
    </row>
    <row r="649" spans="2:2" ht="13" x14ac:dyDescent="0.15">
      <c r="B649" s="5"/>
    </row>
    <row r="650" spans="2:2" ht="13" x14ac:dyDescent="0.15">
      <c r="B650" s="5"/>
    </row>
    <row r="651" spans="2:2" ht="13" x14ac:dyDescent="0.15">
      <c r="B651" s="5"/>
    </row>
    <row r="652" spans="2:2" ht="13" x14ac:dyDescent="0.15">
      <c r="B652" s="5"/>
    </row>
    <row r="653" spans="2:2" ht="13" x14ac:dyDescent="0.15">
      <c r="B653" s="5"/>
    </row>
    <row r="654" spans="2:2" ht="13" x14ac:dyDescent="0.15">
      <c r="B654" s="5"/>
    </row>
    <row r="655" spans="2:2" ht="13" x14ac:dyDescent="0.15">
      <c r="B655" s="5"/>
    </row>
    <row r="656" spans="2:2" ht="13" x14ac:dyDescent="0.15">
      <c r="B656" s="5"/>
    </row>
    <row r="657" spans="2:2" ht="13" x14ac:dyDescent="0.15">
      <c r="B657" s="5"/>
    </row>
    <row r="658" spans="2:2" ht="13" x14ac:dyDescent="0.15">
      <c r="B658" s="5"/>
    </row>
    <row r="659" spans="2:2" ht="13" x14ac:dyDescent="0.15">
      <c r="B659" s="5"/>
    </row>
    <row r="660" spans="2:2" ht="13" x14ac:dyDescent="0.15">
      <c r="B660" s="5"/>
    </row>
    <row r="661" spans="2:2" ht="13" x14ac:dyDescent="0.15">
      <c r="B661" s="5"/>
    </row>
    <row r="662" spans="2:2" ht="13" x14ac:dyDescent="0.15">
      <c r="B662" s="5"/>
    </row>
    <row r="663" spans="2:2" ht="13" x14ac:dyDescent="0.15">
      <c r="B663" s="5"/>
    </row>
    <row r="664" spans="2:2" ht="13" x14ac:dyDescent="0.15">
      <c r="B664" s="5"/>
    </row>
    <row r="665" spans="2:2" ht="13" x14ac:dyDescent="0.15">
      <c r="B665" s="5"/>
    </row>
    <row r="666" spans="2:2" ht="13" x14ac:dyDescent="0.15">
      <c r="B666" s="5"/>
    </row>
    <row r="667" spans="2:2" ht="13" x14ac:dyDescent="0.15">
      <c r="B667" s="5"/>
    </row>
    <row r="668" spans="2:2" ht="13" x14ac:dyDescent="0.15">
      <c r="B668" s="5"/>
    </row>
    <row r="669" spans="2:2" ht="13" x14ac:dyDescent="0.15">
      <c r="B669" s="5"/>
    </row>
    <row r="670" spans="2:2" ht="13" x14ac:dyDescent="0.15">
      <c r="B670" s="5"/>
    </row>
    <row r="671" spans="2:2" ht="13" x14ac:dyDescent="0.15">
      <c r="B671" s="5"/>
    </row>
    <row r="672" spans="2:2" ht="13" x14ac:dyDescent="0.15">
      <c r="B672" s="5"/>
    </row>
    <row r="673" spans="2:2" ht="13" x14ac:dyDescent="0.15">
      <c r="B673" s="5"/>
    </row>
    <row r="674" spans="2:2" ht="13" x14ac:dyDescent="0.15">
      <c r="B674" s="5"/>
    </row>
    <row r="675" spans="2:2" ht="13" x14ac:dyDescent="0.15">
      <c r="B675" s="5"/>
    </row>
    <row r="676" spans="2:2" ht="13" x14ac:dyDescent="0.15">
      <c r="B676" s="5"/>
    </row>
    <row r="677" spans="2:2" ht="13" x14ac:dyDescent="0.15">
      <c r="B677" s="5"/>
    </row>
    <row r="678" spans="2:2" ht="13" x14ac:dyDescent="0.15">
      <c r="B678" s="5"/>
    </row>
    <row r="679" spans="2:2" ht="13" x14ac:dyDescent="0.15">
      <c r="B679" s="5"/>
    </row>
    <row r="680" spans="2:2" ht="13" x14ac:dyDescent="0.15">
      <c r="B680" s="5"/>
    </row>
    <row r="681" spans="2:2" ht="13" x14ac:dyDescent="0.15">
      <c r="B681" s="5"/>
    </row>
    <row r="682" spans="2:2" ht="13" x14ac:dyDescent="0.15">
      <c r="B682" s="5"/>
    </row>
    <row r="683" spans="2:2" ht="13" x14ac:dyDescent="0.15">
      <c r="B683" s="5"/>
    </row>
    <row r="684" spans="2:2" ht="13" x14ac:dyDescent="0.15">
      <c r="B684" s="5"/>
    </row>
    <row r="685" spans="2:2" ht="13" x14ac:dyDescent="0.15">
      <c r="B685" s="5"/>
    </row>
    <row r="686" spans="2:2" ht="13" x14ac:dyDescent="0.15">
      <c r="B686" s="5"/>
    </row>
    <row r="687" spans="2:2" ht="13" x14ac:dyDescent="0.15">
      <c r="B687" s="5"/>
    </row>
    <row r="688" spans="2:2" ht="13" x14ac:dyDescent="0.15">
      <c r="B688" s="5"/>
    </row>
    <row r="689" spans="2:2" ht="13" x14ac:dyDescent="0.15">
      <c r="B689" s="5"/>
    </row>
    <row r="690" spans="2:2" ht="13" x14ac:dyDescent="0.15">
      <c r="B690" s="5"/>
    </row>
    <row r="691" spans="2:2" ht="13" x14ac:dyDescent="0.15">
      <c r="B691" s="5"/>
    </row>
    <row r="692" spans="2:2" ht="13" x14ac:dyDescent="0.15">
      <c r="B692" s="5"/>
    </row>
    <row r="693" spans="2:2" ht="13" x14ac:dyDescent="0.15">
      <c r="B693" s="5"/>
    </row>
    <row r="694" spans="2:2" ht="13" x14ac:dyDescent="0.15">
      <c r="B694" s="5"/>
    </row>
    <row r="695" spans="2:2" ht="13" x14ac:dyDescent="0.15">
      <c r="B695" s="5"/>
    </row>
    <row r="696" spans="2:2" ht="13" x14ac:dyDescent="0.15">
      <c r="B696" s="5"/>
    </row>
    <row r="697" spans="2:2" ht="13" x14ac:dyDescent="0.15">
      <c r="B697" s="5"/>
    </row>
    <row r="698" spans="2:2" ht="13" x14ac:dyDescent="0.15">
      <c r="B698" s="5"/>
    </row>
    <row r="699" spans="2:2" ht="13" x14ac:dyDescent="0.15">
      <c r="B699" s="5"/>
    </row>
    <row r="700" spans="2:2" ht="13" x14ac:dyDescent="0.15">
      <c r="B700" s="5"/>
    </row>
    <row r="701" spans="2:2" ht="13" x14ac:dyDescent="0.15">
      <c r="B701" s="5"/>
    </row>
    <row r="702" spans="2:2" ht="13" x14ac:dyDescent="0.15">
      <c r="B702" s="5"/>
    </row>
    <row r="703" spans="2:2" ht="13" x14ac:dyDescent="0.15">
      <c r="B703" s="5"/>
    </row>
    <row r="704" spans="2:2" ht="13" x14ac:dyDescent="0.15">
      <c r="B704" s="5"/>
    </row>
    <row r="705" spans="2:2" ht="13" x14ac:dyDescent="0.15">
      <c r="B705" s="5"/>
    </row>
    <row r="706" spans="2:2" ht="13" x14ac:dyDescent="0.15">
      <c r="B706" s="5"/>
    </row>
    <row r="707" spans="2:2" ht="13" x14ac:dyDescent="0.15">
      <c r="B707" s="5"/>
    </row>
    <row r="708" spans="2:2" ht="13" x14ac:dyDescent="0.15">
      <c r="B708" s="5"/>
    </row>
    <row r="709" spans="2:2" ht="13" x14ac:dyDescent="0.15">
      <c r="B709" s="5"/>
    </row>
    <row r="710" spans="2:2" ht="13" x14ac:dyDescent="0.15">
      <c r="B710" s="5"/>
    </row>
    <row r="711" spans="2:2" ht="13" x14ac:dyDescent="0.15">
      <c r="B711" s="5"/>
    </row>
    <row r="712" spans="2:2" ht="13" x14ac:dyDescent="0.15">
      <c r="B712" s="5"/>
    </row>
    <row r="713" spans="2:2" ht="13" x14ac:dyDescent="0.15">
      <c r="B713" s="5"/>
    </row>
    <row r="714" spans="2:2" ht="13" x14ac:dyDescent="0.15">
      <c r="B714" s="5"/>
    </row>
    <row r="715" spans="2:2" ht="13" x14ac:dyDescent="0.15">
      <c r="B715" s="5"/>
    </row>
    <row r="716" spans="2:2" ht="13" x14ac:dyDescent="0.15">
      <c r="B716" s="5"/>
    </row>
    <row r="717" spans="2:2" ht="13" x14ac:dyDescent="0.15">
      <c r="B717" s="5"/>
    </row>
    <row r="718" spans="2:2" ht="13" x14ac:dyDescent="0.15">
      <c r="B718" s="5"/>
    </row>
    <row r="719" spans="2:2" ht="13" x14ac:dyDescent="0.15">
      <c r="B719" s="5"/>
    </row>
    <row r="720" spans="2:2" ht="13" x14ac:dyDescent="0.15">
      <c r="B720" s="5"/>
    </row>
    <row r="721" spans="2:2" ht="13" x14ac:dyDescent="0.15">
      <c r="B721" s="5"/>
    </row>
    <row r="722" spans="2:2" ht="13" x14ac:dyDescent="0.15">
      <c r="B722" s="5"/>
    </row>
    <row r="723" spans="2:2" ht="13" x14ac:dyDescent="0.15">
      <c r="B723" s="5"/>
    </row>
    <row r="724" spans="2:2" ht="13" x14ac:dyDescent="0.15">
      <c r="B724" s="5"/>
    </row>
    <row r="725" spans="2:2" ht="13" x14ac:dyDescent="0.15">
      <c r="B725" s="5"/>
    </row>
    <row r="726" spans="2:2" ht="13" x14ac:dyDescent="0.15">
      <c r="B726" s="5"/>
    </row>
    <row r="727" spans="2:2" ht="13" x14ac:dyDescent="0.15">
      <c r="B727" s="5"/>
    </row>
    <row r="728" spans="2:2" ht="13" x14ac:dyDescent="0.15">
      <c r="B728" s="5"/>
    </row>
    <row r="729" spans="2:2" ht="13" x14ac:dyDescent="0.15">
      <c r="B729" s="5"/>
    </row>
    <row r="730" spans="2:2" ht="13" x14ac:dyDescent="0.15">
      <c r="B730" s="5"/>
    </row>
    <row r="731" spans="2:2" ht="13" x14ac:dyDescent="0.15">
      <c r="B731" s="5"/>
    </row>
    <row r="732" spans="2:2" ht="13" x14ac:dyDescent="0.15">
      <c r="B732" s="5"/>
    </row>
    <row r="733" spans="2:2" ht="13" x14ac:dyDescent="0.15">
      <c r="B733" s="5"/>
    </row>
    <row r="734" spans="2:2" ht="13" x14ac:dyDescent="0.15">
      <c r="B734" s="5"/>
    </row>
    <row r="735" spans="2:2" ht="13" x14ac:dyDescent="0.15">
      <c r="B735" s="5"/>
    </row>
    <row r="736" spans="2:2" ht="13" x14ac:dyDescent="0.15">
      <c r="B736" s="5"/>
    </row>
    <row r="737" spans="2:2" ht="13" x14ac:dyDescent="0.15">
      <c r="B737" s="5"/>
    </row>
    <row r="738" spans="2:2" ht="13" x14ac:dyDescent="0.15">
      <c r="B738" s="5"/>
    </row>
    <row r="739" spans="2:2" ht="13" x14ac:dyDescent="0.15">
      <c r="B739" s="5"/>
    </row>
    <row r="740" spans="2:2" ht="13" x14ac:dyDescent="0.15">
      <c r="B740" s="5"/>
    </row>
    <row r="741" spans="2:2" ht="13" x14ac:dyDescent="0.15">
      <c r="B741" s="5"/>
    </row>
    <row r="742" spans="2:2" ht="13" x14ac:dyDescent="0.15">
      <c r="B742" s="5"/>
    </row>
    <row r="743" spans="2:2" ht="13" x14ac:dyDescent="0.15">
      <c r="B743" s="5"/>
    </row>
    <row r="744" spans="2:2" ht="13" x14ac:dyDescent="0.15">
      <c r="B744" s="5"/>
    </row>
    <row r="745" spans="2:2" ht="13" x14ac:dyDescent="0.15">
      <c r="B745" s="5"/>
    </row>
    <row r="746" spans="2:2" ht="13" x14ac:dyDescent="0.15">
      <c r="B746" s="5"/>
    </row>
    <row r="747" spans="2:2" ht="13" x14ac:dyDescent="0.15">
      <c r="B747" s="5"/>
    </row>
    <row r="748" spans="2:2" ht="13" x14ac:dyDescent="0.15">
      <c r="B748" s="5"/>
    </row>
    <row r="749" spans="2:2" ht="13" x14ac:dyDescent="0.15">
      <c r="B749" s="5"/>
    </row>
    <row r="750" spans="2:2" ht="13" x14ac:dyDescent="0.15">
      <c r="B750" s="5"/>
    </row>
    <row r="751" spans="2:2" ht="13" x14ac:dyDescent="0.15">
      <c r="B751" s="5"/>
    </row>
    <row r="752" spans="2:2" ht="13" x14ac:dyDescent="0.15">
      <c r="B752" s="5"/>
    </row>
    <row r="753" spans="2:2" ht="13" x14ac:dyDescent="0.15">
      <c r="B753" s="5"/>
    </row>
    <row r="754" spans="2:2" ht="13" x14ac:dyDescent="0.15">
      <c r="B754" s="5"/>
    </row>
    <row r="755" spans="2:2" ht="13" x14ac:dyDescent="0.15">
      <c r="B755" s="5"/>
    </row>
    <row r="756" spans="2:2" ht="13" x14ac:dyDescent="0.15">
      <c r="B756" s="5"/>
    </row>
    <row r="757" spans="2:2" ht="13" x14ac:dyDescent="0.15">
      <c r="B757" s="5"/>
    </row>
    <row r="758" spans="2:2" ht="13" x14ac:dyDescent="0.15">
      <c r="B758" s="5"/>
    </row>
    <row r="759" spans="2:2" ht="13" x14ac:dyDescent="0.15">
      <c r="B759" s="5"/>
    </row>
    <row r="760" spans="2:2" ht="13" x14ac:dyDescent="0.15">
      <c r="B760" s="5"/>
    </row>
    <row r="761" spans="2:2" ht="13" x14ac:dyDescent="0.15">
      <c r="B761" s="5"/>
    </row>
    <row r="762" spans="2:2" ht="13" x14ac:dyDescent="0.15">
      <c r="B762" s="5"/>
    </row>
    <row r="763" spans="2:2" ht="13" x14ac:dyDescent="0.15">
      <c r="B763" s="5"/>
    </row>
    <row r="764" spans="2:2" ht="13" x14ac:dyDescent="0.15">
      <c r="B764" s="5"/>
    </row>
    <row r="765" spans="2:2" ht="13" x14ac:dyDescent="0.15">
      <c r="B765" s="5"/>
    </row>
    <row r="766" spans="2:2" ht="13" x14ac:dyDescent="0.15">
      <c r="B766" s="5"/>
    </row>
    <row r="767" spans="2:2" ht="13" x14ac:dyDescent="0.15">
      <c r="B767" s="5"/>
    </row>
    <row r="768" spans="2:2" ht="13" x14ac:dyDescent="0.15">
      <c r="B768" s="5"/>
    </row>
    <row r="769" spans="2:2" ht="13" x14ac:dyDescent="0.15">
      <c r="B769" s="5"/>
    </row>
    <row r="770" spans="2:2" ht="13" x14ac:dyDescent="0.15">
      <c r="B770" s="5"/>
    </row>
    <row r="771" spans="2:2" ht="13" x14ac:dyDescent="0.15">
      <c r="B771" s="5"/>
    </row>
    <row r="772" spans="2:2" ht="13" x14ac:dyDescent="0.15">
      <c r="B772" s="5"/>
    </row>
    <row r="773" spans="2:2" ht="13" x14ac:dyDescent="0.15">
      <c r="B773" s="5"/>
    </row>
    <row r="774" spans="2:2" ht="13" x14ac:dyDescent="0.15">
      <c r="B774" s="5"/>
    </row>
    <row r="775" spans="2:2" ht="13" x14ac:dyDescent="0.15">
      <c r="B775" s="5"/>
    </row>
    <row r="776" spans="2:2" ht="13" x14ac:dyDescent="0.15">
      <c r="B776" s="5"/>
    </row>
    <row r="777" spans="2:2" ht="13" x14ac:dyDescent="0.15">
      <c r="B777" s="5"/>
    </row>
    <row r="778" spans="2:2" ht="13" x14ac:dyDescent="0.15">
      <c r="B778" s="5"/>
    </row>
    <row r="779" spans="2:2" ht="13" x14ac:dyDescent="0.15">
      <c r="B779" s="5"/>
    </row>
    <row r="780" spans="2:2" ht="13" x14ac:dyDescent="0.15">
      <c r="B780" s="5"/>
    </row>
    <row r="781" spans="2:2" ht="13" x14ac:dyDescent="0.15">
      <c r="B781" s="5"/>
    </row>
    <row r="782" spans="2:2" ht="13" x14ac:dyDescent="0.15">
      <c r="B782" s="5"/>
    </row>
    <row r="783" spans="2:2" ht="13" x14ac:dyDescent="0.15">
      <c r="B783" s="5"/>
    </row>
    <row r="784" spans="2:2" ht="13" x14ac:dyDescent="0.15">
      <c r="B784" s="5"/>
    </row>
    <row r="785" spans="2:2" ht="13" x14ac:dyDescent="0.15">
      <c r="B785" s="5"/>
    </row>
    <row r="786" spans="2:2" ht="13" x14ac:dyDescent="0.15">
      <c r="B786" s="5"/>
    </row>
    <row r="787" spans="2:2" ht="13" x14ac:dyDescent="0.15">
      <c r="B787" s="5"/>
    </row>
    <row r="788" spans="2:2" ht="13" x14ac:dyDescent="0.15">
      <c r="B788" s="5"/>
    </row>
    <row r="789" spans="2:2" ht="13" x14ac:dyDescent="0.15">
      <c r="B789" s="5"/>
    </row>
    <row r="790" spans="2:2" ht="13" x14ac:dyDescent="0.15">
      <c r="B790" s="5"/>
    </row>
    <row r="791" spans="2:2" ht="13" x14ac:dyDescent="0.15">
      <c r="B791" s="5"/>
    </row>
    <row r="792" spans="2:2" ht="13" x14ac:dyDescent="0.15">
      <c r="B792" s="5"/>
    </row>
    <row r="793" spans="2:2" ht="13" x14ac:dyDescent="0.15">
      <c r="B793" s="5"/>
    </row>
    <row r="794" spans="2:2" ht="13" x14ac:dyDescent="0.15">
      <c r="B794" s="5"/>
    </row>
    <row r="795" spans="2:2" ht="13" x14ac:dyDescent="0.15">
      <c r="B795" s="5"/>
    </row>
    <row r="796" spans="2:2" ht="13" x14ac:dyDescent="0.15">
      <c r="B796" s="5"/>
    </row>
    <row r="797" spans="2:2" ht="13" x14ac:dyDescent="0.15">
      <c r="B797" s="5"/>
    </row>
    <row r="798" spans="2:2" ht="13" x14ac:dyDescent="0.15">
      <c r="B798" s="5"/>
    </row>
    <row r="799" spans="2:2" ht="13" x14ac:dyDescent="0.15">
      <c r="B799" s="5"/>
    </row>
    <row r="800" spans="2:2" ht="13" x14ac:dyDescent="0.15">
      <c r="B800" s="5"/>
    </row>
    <row r="801" spans="2:2" ht="13" x14ac:dyDescent="0.15">
      <c r="B801" s="5"/>
    </row>
    <row r="802" spans="2:2" ht="13" x14ac:dyDescent="0.15">
      <c r="B802" s="5"/>
    </row>
    <row r="803" spans="2:2" ht="13" x14ac:dyDescent="0.15">
      <c r="B803" s="5"/>
    </row>
    <row r="804" spans="2:2" ht="13" x14ac:dyDescent="0.15">
      <c r="B804" s="5"/>
    </row>
    <row r="805" spans="2:2" ht="13" x14ac:dyDescent="0.15">
      <c r="B805" s="5"/>
    </row>
    <row r="806" spans="2:2" ht="13" x14ac:dyDescent="0.15">
      <c r="B806" s="5"/>
    </row>
    <row r="807" spans="2:2" ht="13" x14ac:dyDescent="0.15">
      <c r="B807" s="5"/>
    </row>
    <row r="808" spans="2:2" ht="13" x14ac:dyDescent="0.15">
      <c r="B808" s="5"/>
    </row>
    <row r="809" spans="2:2" ht="13" x14ac:dyDescent="0.15">
      <c r="B809" s="5"/>
    </row>
    <row r="810" spans="2:2" ht="13" x14ac:dyDescent="0.15">
      <c r="B810" s="5"/>
    </row>
    <row r="811" spans="2:2" ht="13" x14ac:dyDescent="0.15">
      <c r="B811" s="5"/>
    </row>
    <row r="812" spans="2:2" ht="13" x14ac:dyDescent="0.15">
      <c r="B812" s="5"/>
    </row>
    <row r="813" spans="2:2" ht="13" x14ac:dyDescent="0.15">
      <c r="B813" s="5"/>
    </row>
    <row r="814" spans="2:2" ht="13" x14ac:dyDescent="0.15">
      <c r="B814" s="5"/>
    </row>
    <row r="815" spans="2:2" ht="13" x14ac:dyDescent="0.15">
      <c r="B815" s="5"/>
    </row>
    <row r="816" spans="2:2" ht="13" x14ac:dyDescent="0.15">
      <c r="B816" s="5"/>
    </row>
    <row r="817" spans="2:2" ht="13" x14ac:dyDescent="0.15">
      <c r="B817" s="5"/>
    </row>
    <row r="818" spans="2:2" ht="13" x14ac:dyDescent="0.15">
      <c r="B818" s="5"/>
    </row>
    <row r="819" spans="2:2" ht="13" x14ac:dyDescent="0.15">
      <c r="B819" s="5"/>
    </row>
    <row r="820" spans="2:2" ht="13" x14ac:dyDescent="0.15">
      <c r="B820" s="5"/>
    </row>
    <row r="821" spans="2:2" ht="13" x14ac:dyDescent="0.15">
      <c r="B821" s="5"/>
    </row>
    <row r="822" spans="2:2" ht="13" x14ac:dyDescent="0.15">
      <c r="B822" s="5"/>
    </row>
    <row r="823" spans="2:2" ht="13" x14ac:dyDescent="0.15">
      <c r="B823" s="5"/>
    </row>
    <row r="824" spans="2:2" ht="13" x14ac:dyDescent="0.15">
      <c r="B824" s="5"/>
    </row>
    <row r="825" spans="2:2" ht="13" x14ac:dyDescent="0.15">
      <c r="B825" s="5"/>
    </row>
    <row r="826" spans="2:2" ht="13" x14ac:dyDescent="0.15">
      <c r="B826" s="5"/>
    </row>
    <row r="827" spans="2:2" ht="13" x14ac:dyDescent="0.15">
      <c r="B827" s="5"/>
    </row>
    <row r="828" spans="2:2" ht="13" x14ac:dyDescent="0.15">
      <c r="B828" s="5"/>
    </row>
    <row r="829" spans="2:2" ht="13" x14ac:dyDescent="0.15">
      <c r="B829" s="5"/>
    </row>
    <row r="830" spans="2:2" ht="13" x14ac:dyDescent="0.15">
      <c r="B830" s="5"/>
    </row>
    <row r="831" spans="2:2" ht="13" x14ac:dyDescent="0.15">
      <c r="B831" s="5"/>
    </row>
    <row r="832" spans="2:2" ht="13" x14ac:dyDescent="0.15">
      <c r="B832" s="5"/>
    </row>
    <row r="833" spans="2:2" ht="13" x14ac:dyDescent="0.15">
      <c r="B833" s="5"/>
    </row>
    <row r="834" spans="2:2" ht="13" x14ac:dyDescent="0.15">
      <c r="B834" s="5"/>
    </row>
    <row r="835" spans="2:2" ht="13" x14ac:dyDescent="0.15">
      <c r="B835" s="5"/>
    </row>
    <row r="836" spans="2:2" ht="13" x14ac:dyDescent="0.15">
      <c r="B836" s="5"/>
    </row>
    <row r="837" spans="2:2" ht="13" x14ac:dyDescent="0.15">
      <c r="B837" s="5"/>
    </row>
    <row r="838" spans="2:2" ht="13" x14ac:dyDescent="0.15">
      <c r="B838" s="5"/>
    </row>
    <row r="839" spans="2:2" ht="13" x14ac:dyDescent="0.15">
      <c r="B839" s="5"/>
    </row>
    <row r="840" spans="2:2" ht="13" x14ac:dyDescent="0.15">
      <c r="B840" s="5"/>
    </row>
    <row r="841" spans="2:2" ht="13" x14ac:dyDescent="0.15">
      <c r="B841" s="5"/>
    </row>
    <row r="842" spans="2:2" ht="13" x14ac:dyDescent="0.15">
      <c r="B842" s="5"/>
    </row>
    <row r="843" spans="2:2" ht="13" x14ac:dyDescent="0.15">
      <c r="B843" s="5"/>
    </row>
    <row r="844" spans="2:2" ht="13" x14ac:dyDescent="0.15">
      <c r="B844" s="5"/>
    </row>
    <row r="845" spans="2:2" ht="13" x14ac:dyDescent="0.15">
      <c r="B845" s="5"/>
    </row>
    <row r="846" spans="2:2" ht="13" x14ac:dyDescent="0.15">
      <c r="B846" s="5"/>
    </row>
    <row r="847" spans="2:2" ht="13" x14ac:dyDescent="0.15">
      <c r="B847" s="5"/>
    </row>
    <row r="848" spans="2:2" ht="13" x14ac:dyDescent="0.15">
      <c r="B848" s="5"/>
    </row>
    <row r="849" spans="2:2" ht="13" x14ac:dyDescent="0.15">
      <c r="B849" s="5"/>
    </row>
    <row r="850" spans="2:2" ht="13" x14ac:dyDescent="0.15">
      <c r="B850" s="5"/>
    </row>
    <row r="851" spans="2:2" ht="13" x14ac:dyDescent="0.15">
      <c r="B851" s="5"/>
    </row>
    <row r="852" spans="2:2" ht="13" x14ac:dyDescent="0.15">
      <c r="B852" s="5"/>
    </row>
    <row r="853" spans="2:2" ht="13" x14ac:dyDescent="0.15">
      <c r="B853" s="5"/>
    </row>
    <row r="854" spans="2:2" ht="13" x14ac:dyDescent="0.15">
      <c r="B854" s="5"/>
    </row>
    <row r="855" spans="2:2" ht="13" x14ac:dyDescent="0.15">
      <c r="B855" s="5"/>
    </row>
    <row r="856" spans="2:2" ht="13" x14ac:dyDescent="0.15">
      <c r="B856" s="5"/>
    </row>
    <row r="857" spans="2:2" ht="13" x14ac:dyDescent="0.15">
      <c r="B857" s="5"/>
    </row>
    <row r="858" spans="2:2" ht="13" x14ac:dyDescent="0.15">
      <c r="B858" s="5"/>
    </row>
    <row r="859" spans="2:2" ht="13" x14ac:dyDescent="0.15">
      <c r="B859" s="5"/>
    </row>
    <row r="860" spans="2:2" ht="13" x14ac:dyDescent="0.15">
      <c r="B860" s="5"/>
    </row>
    <row r="861" spans="2:2" ht="13" x14ac:dyDescent="0.15">
      <c r="B861" s="5"/>
    </row>
    <row r="862" spans="2:2" ht="13" x14ac:dyDescent="0.15">
      <c r="B862" s="5"/>
    </row>
    <row r="863" spans="2:2" ht="13" x14ac:dyDescent="0.15">
      <c r="B863" s="5"/>
    </row>
    <row r="864" spans="2:2" ht="13" x14ac:dyDescent="0.15">
      <c r="B864" s="5"/>
    </row>
    <row r="865" spans="2:2" ht="13" x14ac:dyDescent="0.15">
      <c r="B865" s="5"/>
    </row>
    <row r="866" spans="2:2" ht="13" x14ac:dyDescent="0.15">
      <c r="B866" s="5"/>
    </row>
    <row r="867" spans="2:2" ht="13" x14ac:dyDescent="0.15">
      <c r="B867" s="5"/>
    </row>
    <row r="868" spans="2:2" ht="13" x14ac:dyDescent="0.15">
      <c r="B868" s="5"/>
    </row>
    <row r="869" spans="2:2" ht="13" x14ac:dyDescent="0.15">
      <c r="B869" s="5"/>
    </row>
    <row r="870" spans="2:2" ht="13" x14ac:dyDescent="0.15">
      <c r="B870" s="5"/>
    </row>
    <row r="871" spans="2:2" ht="13" x14ac:dyDescent="0.15">
      <c r="B871" s="5"/>
    </row>
    <row r="872" spans="2:2" ht="13" x14ac:dyDescent="0.15">
      <c r="B872" s="5"/>
    </row>
    <row r="873" spans="2:2" ht="13" x14ac:dyDescent="0.15">
      <c r="B873" s="5"/>
    </row>
    <row r="874" spans="2:2" ht="13" x14ac:dyDescent="0.15">
      <c r="B874" s="5"/>
    </row>
    <row r="875" spans="2:2" ht="13" x14ac:dyDescent="0.15">
      <c r="B875" s="5"/>
    </row>
    <row r="876" spans="2:2" ht="13" x14ac:dyDescent="0.15">
      <c r="B876" s="5"/>
    </row>
    <row r="877" spans="2:2" ht="13" x14ac:dyDescent="0.15">
      <c r="B877" s="5"/>
    </row>
    <row r="878" spans="2:2" ht="13" x14ac:dyDescent="0.15">
      <c r="B878" s="5"/>
    </row>
    <row r="879" spans="2:2" ht="13" x14ac:dyDescent="0.15">
      <c r="B879" s="5"/>
    </row>
    <row r="880" spans="2:2" ht="13" x14ac:dyDescent="0.15">
      <c r="B880" s="5"/>
    </row>
    <row r="881" spans="2:2" ht="13" x14ac:dyDescent="0.15">
      <c r="B881" s="5"/>
    </row>
    <row r="882" spans="2:2" ht="13" x14ac:dyDescent="0.15">
      <c r="B882" s="5"/>
    </row>
    <row r="883" spans="2:2" ht="13" x14ac:dyDescent="0.15">
      <c r="B883" s="5"/>
    </row>
    <row r="884" spans="2:2" ht="13" x14ac:dyDescent="0.15">
      <c r="B884" s="5"/>
    </row>
    <row r="885" spans="2:2" ht="13" x14ac:dyDescent="0.15">
      <c r="B885" s="5"/>
    </row>
    <row r="886" spans="2:2" ht="13" x14ac:dyDescent="0.15">
      <c r="B886" s="5"/>
    </row>
    <row r="887" spans="2:2" ht="13" x14ac:dyDescent="0.15">
      <c r="B887" s="5"/>
    </row>
    <row r="888" spans="2:2" ht="13" x14ac:dyDescent="0.15">
      <c r="B888" s="5"/>
    </row>
    <row r="889" spans="2:2" ht="13" x14ac:dyDescent="0.15">
      <c r="B889" s="5"/>
    </row>
    <row r="890" spans="2:2" ht="13" x14ac:dyDescent="0.15">
      <c r="B890" s="5"/>
    </row>
    <row r="891" spans="2:2" ht="13" x14ac:dyDescent="0.15">
      <c r="B891" s="5"/>
    </row>
    <row r="892" spans="2:2" ht="13" x14ac:dyDescent="0.15">
      <c r="B892" s="5"/>
    </row>
    <row r="893" spans="2:2" ht="13" x14ac:dyDescent="0.15">
      <c r="B893" s="5"/>
    </row>
    <row r="894" spans="2:2" ht="13" x14ac:dyDescent="0.15">
      <c r="B894" s="5"/>
    </row>
    <row r="895" spans="2:2" ht="13" x14ac:dyDescent="0.15">
      <c r="B895" s="5"/>
    </row>
    <row r="896" spans="2:2" ht="13" x14ac:dyDescent="0.15">
      <c r="B896" s="5"/>
    </row>
    <row r="897" spans="2:2" ht="13" x14ac:dyDescent="0.15">
      <c r="B897" s="5"/>
    </row>
    <row r="898" spans="2:2" ht="13" x14ac:dyDescent="0.15">
      <c r="B898" s="5"/>
    </row>
    <row r="899" spans="2:2" ht="13" x14ac:dyDescent="0.15">
      <c r="B899" s="5"/>
    </row>
    <row r="900" spans="2:2" ht="13" x14ac:dyDescent="0.15">
      <c r="B900" s="5"/>
    </row>
    <row r="901" spans="2:2" ht="13" x14ac:dyDescent="0.15">
      <c r="B901" s="5"/>
    </row>
    <row r="902" spans="2:2" ht="13" x14ac:dyDescent="0.15">
      <c r="B902" s="5"/>
    </row>
    <row r="903" spans="2:2" ht="13" x14ac:dyDescent="0.15">
      <c r="B903" s="5"/>
    </row>
    <row r="904" spans="2:2" ht="13" x14ac:dyDescent="0.15">
      <c r="B904" s="5"/>
    </row>
    <row r="905" spans="2:2" ht="13" x14ac:dyDescent="0.15">
      <c r="B905" s="5"/>
    </row>
    <row r="906" spans="2:2" ht="13" x14ac:dyDescent="0.15">
      <c r="B906" s="5"/>
    </row>
    <row r="907" spans="2:2" ht="13" x14ac:dyDescent="0.15">
      <c r="B907" s="5"/>
    </row>
    <row r="908" spans="2:2" ht="13" x14ac:dyDescent="0.15">
      <c r="B908" s="5"/>
    </row>
    <row r="909" spans="2:2" ht="13" x14ac:dyDescent="0.15">
      <c r="B909" s="5"/>
    </row>
    <row r="910" spans="2:2" ht="13" x14ac:dyDescent="0.15">
      <c r="B910" s="5"/>
    </row>
    <row r="911" spans="2:2" ht="13" x14ac:dyDescent="0.15">
      <c r="B911" s="5"/>
    </row>
    <row r="912" spans="2:2" ht="13" x14ac:dyDescent="0.15">
      <c r="B912" s="5"/>
    </row>
    <row r="913" spans="2:2" ht="13" x14ac:dyDescent="0.15">
      <c r="B913" s="5"/>
    </row>
    <row r="914" spans="2:2" ht="13" x14ac:dyDescent="0.15">
      <c r="B914" s="5"/>
    </row>
    <row r="915" spans="2:2" ht="13" x14ac:dyDescent="0.15">
      <c r="B915" s="5"/>
    </row>
    <row r="916" spans="2:2" ht="13" x14ac:dyDescent="0.15">
      <c r="B916" s="5"/>
    </row>
    <row r="917" spans="2:2" ht="13" x14ac:dyDescent="0.15">
      <c r="B917" s="5"/>
    </row>
    <row r="918" spans="2:2" ht="13" x14ac:dyDescent="0.15">
      <c r="B918" s="5"/>
    </row>
    <row r="919" spans="2:2" ht="13" x14ac:dyDescent="0.15">
      <c r="B919" s="5"/>
    </row>
    <row r="920" spans="2:2" ht="13" x14ac:dyDescent="0.15">
      <c r="B920" s="5"/>
    </row>
    <row r="921" spans="2:2" ht="13" x14ac:dyDescent="0.15">
      <c r="B921" s="5"/>
    </row>
    <row r="922" spans="2:2" ht="13" x14ac:dyDescent="0.15">
      <c r="B922" s="5"/>
    </row>
    <row r="923" spans="2:2" ht="13" x14ac:dyDescent="0.15">
      <c r="B923" s="5"/>
    </row>
    <row r="924" spans="2:2" ht="13" x14ac:dyDescent="0.15">
      <c r="B924" s="5"/>
    </row>
    <row r="925" spans="2:2" ht="13" x14ac:dyDescent="0.15">
      <c r="B925" s="5"/>
    </row>
    <row r="926" spans="2:2" ht="13" x14ac:dyDescent="0.15">
      <c r="B926" s="5"/>
    </row>
    <row r="927" spans="2:2" ht="13" x14ac:dyDescent="0.15">
      <c r="B927" s="5"/>
    </row>
    <row r="928" spans="2:2" ht="13" x14ac:dyDescent="0.15">
      <c r="B928" s="5"/>
    </row>
    <row r="929" spans="2:2" ht="13" x14ac:dyDescent="0.15">
      <c r="B929" s="5"/>
    </row>
    <row r="930" spans="2:2" ht="13" x14ac:dyDescent="0.15">
      <c r="B930" s="5"/>
    </row>
    <row r="931" spans="2:2" ht="13" x14ac:dyDescent="0.15">
      <c r="B931" s="5"/>
    </row>
    <row r="932" spans="2:2" ht="13" x14ac:dyDescent="0.15">
      <c r="B932" s="5"/>
    </row>
    <row r="933" spans="2:2" ht="13" x14ac:dyDescent="0.15">
      <c r="B933" s="5"/>
    </row>
    <row r="934" spans="2:2" ht="13" x14ac:dyDescent="0.15">
      <c r="B934" s="5"/>
    </row>
    <row r="935" spans="2:2" ht="13" x14ac:dyDescent="0.15">
      <c r="B935" s="5"/>
    </row>
    <row r="936" spans="2:2" ht="13" x14ac:dyDescent="0.15">
      <c r="B936" s="5"/>
    </row>
    <row r="937" spans="2:2" ht="13" x14ac:dyDescent="0.15">
      <c r="B937" s="5"/>
    </row>
    <row r="938" spans="2:2" ht="13" x14ac:dyDescent="0.15">
      <c r="B938" s="5"/>
    </row>
    <row r="939" spans="2:2" ht="13" x14ac:dyDescent="0.15">
      <c r="B939" s="5"/>
    </row>
    <row r="940" spans="2:2" ht="13" x14ac:dyDescent="0.15">
      <c r="B940" s="5"/>
    </row>
    <row r="941" spans="2:2" ht="13" x14ac:dyDescent="0.15">
      <c r="B941" s="5"/>
    </row>
    <row r="942" spans="2:2" ht="13" x14ac:dyDescent="0.15">
      <c r="B942" s="5"/>
    </row>
    <row r="943" spans="2:2" ht="13" x14ac:dyDescent="0.15">
      <c r="B943" s="5"/>
    </row>
    <row r="944" spans="2:2" ht="13" x14ac:dyDescent="0.15">
      <c r="B944" s="5"/>
    </row>
    <row r="945" spans="2:2" ht="13" x14ac:dyDescent="0.15">
      <c r="B945" s="5"/>
    </row>
    <row r="946" spans="2:2" ht="13" x14ac:dyDescent="0.15">
      <c r="B946" s="5"/>
    </row>
    <row r="947" spans="2:2" ht="13" x14ac:dyDescent="0.15">
      <c r="B947" s="5"/>
    </row>
    <row r="948" spans="2:2" ht="13" x14ac:dyDescent="0.15">
      <c r="B948" s="5"/>
    </row>
    <row r="949" spans="2:2" ht="13" x14ac:dyDescent="0.15">
      <c r="B949" s="5"/>
    </row>
    <row r="950" spans="2:2" ht="13" x14ac:dyDescent="0.15">
      <c r="B950" s="5"/>
    </row>
    <row r="951" spans="2:2" ht="13" x14ac:dyDescent="0.15">
      <c r="B951" s="5"/>
    </row>
    <row r="952" spans="2:2" ht="13" x14ac:dyDescent="0.15">
      <c r="B952" s="5"/>
    </row>
    <row r="953" spans="2:2" ht="13" x14ac:dyDescent="0.15">
      <c r="B953" s="5"/>
    </row>
    <row r="954" spans="2:2" ht="13" x14ac:dyDescent="0.15">
      <c r="B954" s="5"/>
    </row>
    <row r="955" spans="2:2" ht="13" x14ac:dyDescent="0.15">
      <c r="B955" s="5"/>
    </row>
    <row r="956" spans="2:2" ht="13" x14ac:dyDescent="0.15">
      <c r="B956" s="5"/>
    </row>
    <row r="957" spans="2:2" ht="13" x14ac:dyDescent="0.15">
      <c r="B957" s="5"/>
    </row>
    <row r="958" spans="2:2" ht="13" x14ac:dyDescent="0.15">
      <c r="B958" s="5"/>
    </row>
    <row r="959" spans="2:2" ht="13" x14ac:dyDescent="0.15">
      <c r="B959" s="5"/>
    </row>
    <row r="960" spans="2:2" ht="13" x14ac:dyDescent="0.15">
      <c r="B960" s="5"/>
    </row>
    <row r="961" spans="2:2" ht="13" x14ac:dyDescent="0.15">
      <c r="B961" s="5"/>
    </row>
    <row r="962" spans="2:2" ht="13" x14ac:dyDescent="0.15">
      <c r="B962" s="5"/>
    </row>
    <row r="963" spans="2:2" ht="13" x14ac:dyDescent="0.15">
      <c r="B963" s="5"/>
    </row>
    <row r="964" spans="2:2" ht="13" x14ac:dyDescent="0.15">
      <c r="B964" s="5"/>
    </row>
    <row r="965" spans="2:2" ht="13" x14ac:dyDescent="0.15">
      <c r="B965" s="5"/>
    </row>
    <row r="966" spans="2:2" ht="13" x14ac:dyDescent="0.15">
      <c r="B966" s="5"/>
    </row>
    <row r="967" spans="2:2" ht="13" x14ac:dyDescent="0.15">
      <c r="B967" s="5"/>
    </row>
    <row r="968" spans="2:2" ht="13" x14ac:dyDescent="0.15">
      <c r="B968" s="5"/>
    </row>
    <row r="969" spans="2:2" ht="13" x14ac:dyDescent="0.15">
      <c r="B969" s="5"/>
    </row>
    <row r="970" spans="2:2" ht="13" x14ac:dyDescent="0.15">
      <c r="B970" s="5"/>
    </row>
    <row r="971" spans="2:2" ht="13" x14ac:dyDescent="0.15">
      <c r="B971" s="5"/>
    </row>
    <row r="972" spans="2:2" ht="13" x14ac:dyDescent="0.15">
      <c r="B972" s="5"/>
    </row>
    <row r="973" spans="2:2" ht="13" x14ac:dyDescent="0.15">
      <c r="B973" s="5"/>
    </row>
    <row r="974" spans="2:2" ht="13" x14ac:dyDescent="0.15">
      <c r="B974" s="5"/>
    </row>
    <row r="975" spans="2:2" ht="13" x14ac:dyDescent="0.15">
      <c r="B975" s="5"/>
    </row>
    <row r="976" spans="2:2" ht="13" x14ac:dyDescent="0.15">
      <c r="B976" s="5"/>
    </row>
    <row r="977" spans="2:2" ht="13" x14ac:dyDescent="0.15">
      <c r="B977" s="5"/>
    </row>
    <row r="978" spans="2:2" ht="13" x14ac:dyDescent="0.15">
      <c r="B978" s="5"/>
    </row>
    <row r="979" spans="2:2" ht="13" x14ac:dyDescent="0.15">
      <c r="B979" s="5"/>
    </row>
    <row r="980" spans="2:2" ht="13" x14ac:dyDescent="0.15">
      <c r="B980" s="5"/>
    </row>
    <row r="981" spans="2:2" ht="13" x14ac:dyDescent="0.15">
      <c r="B981" s="5"/>
    </row>
    <row r="982" spans="2:2" ht="13" x14ac:dyDescent="0.15">
      <c r="B982" s="5"/>
    </row>
    <row r="983" spans="2:2" ht="13" x14ac:dyDescent="0.15">
      <c r="B983" s="5"/>
    </row>
    <row r="984" spans="2:2" ht="13" x14ac:dyDescent="0.15">
      <c r="B984" s="5"/>
    </row>
    <row r="985" spans="2:2" ht="13" x14ac:dyDescent="0.15">
      <c r="B985" s="5"/>
    </row>
    <row r="986" spans="2:2" ht="13" x14ac:dyDescent="0.15">
      <c r="B986" s="5"/>
    </row>
    <row r="987" spans="2:2" ht="13" x14ac:dyDescent="0.15">
      <c r="B987" s="5"/>
    </row>
    <row r="988" spans="2:2" ht="13" x14ac:dyDescent="0.15">
      <c r="B988" s="5"/>
    </row>
    <row r="989" spans="2:2" ht="13" x14ac:dyDescent="0.15">
      <c r="B989" s="5"/>
    </row>
    <row r="990" spans="2:2" ht="13" x14ac:dyDescent="0.15">
      <c r="B990" s="5"/>
    </row>
    <row r="991" spans="2:2" ht="13" x14ac:dyDescent="0.15">
      <c r="B991" s="5"/>
    </row>
    <row r="992" spans="2:2" ht="13" x14ac:dyDescent="0.15">
      <c r="B992" s="5"/>
    </row>
    <row r="993" spans="2:2" ht="13" x14ac:dyDescent="0.15">
      <c r="B993" s="5"/>
    </row>
    <row r="994" spans="2:2" ht="13" x14ac:dyDescent="0.15">
      <c r="B994" s="5"/>
    </row>
    <row r="995" spans="2:2" ht="13" x14ac:dyDescent="0.15">
      <c r="B995" s="5"/>
    </row>
    <row r="996" spans="2:2" ht="13" x14ac:dyDescent="0.15">
      <c r="B996" s="5"/>
    </row>
    <row r="997" spans="2:2" ht="13" x14ac:dyDescent="0.15">
      <c r="B997" s="5"/>
    </row>
    <row r="998" spans="2:2" ht="13" x14ac:dyDescent="0.15">
      <c r="B998" s="5"/>
    </row>
    <row r="999" spans="2:2" ht="13" x14ac:dyDescent="0.15">
      <c r="B999" s="5"/>
    </row>
    <row r="1000" spans="2:2" ht="13" x14ac:dyDescent="0.15">
      <c r="B1000" s="5"/>
    </row>
  </sheetData>
  <autoFilter ref="A1:E22" xr:uid="{00000000-0009-0000-0000-000002000000}"/>
  <dataValidations count="3">
    <dataValidation type="list" allowBlank="1" showErrorMessage="1" sqref="D2:D21" xr:uid="{00000000-0002-0000-0200-000000000000}">
      <formula1>"Positif,Netral,Negatif"</formula1>
    </dataValidation>
    <dataValidation type="list" allowBlank="1" showErrorMessage="1" sqref="E2:E17 E19:E21" xr:uid="{00000000-0002-0000-0200-000001000000}">
      <formula1>"Request,Pujian,Lainnya"</formula1>
    </dataValidation>
    <dataValidation type="list" allowBlank="1" showErrorMessage="1" sqref="E18" xr:uid="{00000000-0002-0000-0200-000002000000}">
      <formula1>"Request,Pujian,Lainnya,Kritik"</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C2218-BC7A-084A-A418-AA91166F98C9}">
  <dimension ref="A1:D7"/>
  <sheetViews>
    <sheetView tabSelected="1" workbookViewId="0">
      <selection activeCell="I36" sqref="I36"/>
    </sheetView>
  </sheetViews>
  <sheetFormatPr baseColWidth="10" defaultRowHeight="16" x14ac:dyDescent="0.2"/>
  <cols>
    <col min="1" max="16384" width="10.83203125" style="9"/>
  </cols>
  <sheetData>
    <row r="1" spans="1:4" x14ac:dyDescent="0.2">
      <c r="A1" s="9" t="s">
        <v>2280</v>
      </c>
      <c r="B1" s="9" t="s">
        <v>2279</v>
      </c>
      <c r="C1" s="9" t="s">
        <v>2278</v>
      </c>
      <c r="D1" s="9" t="s">
        <v>2277</v>
      </c>
    </row>
    <row r="2" spans="1:4" x14ac:dyDescent="0.2">
      <c r="A2" s="9" t="s">
        <v>2276</v>
      </c>
      <c r="B2" s="9">
        <v>16</v>
      </c>
      <c r="C2" s="9" t="s">
        <v>2275</v>
      </c>
      <c r="D2" s="10">
        <v>4.3055555555555555E-2</v>
      </c>
    </row>
    <row r="3" spans="1:4" x14ac:dyDescent="0.2">
      <c r="A3" s="9" t="s">
        <v>2274</v>
      </c>
      <c r="B3" s="9">
        <v>9</v>
      </c>
      <c r="C3" s="9" t="s">
        <v>2273</v>
      </c>
      <c r="D3" s="10">
        <v>4.5138888888888888E-2</v>
      </c>
    </row>
    <row r="4" spans="1:4" x14ac:dyDescent="0.2">
      <c r="A4" s="9" t="s">
        <v>2272</v>
      </c>
      <c r="B4" s="9">
        <v>11</v>
      </c>
      <c r="C4" s="11">
        <v>228.91736111111112</v>
      </c>
      <c r="D4" s="10">
        <v>4.3055555555555555E-2</v>
      </c>
    </row>
    <row r="5" spans="1:4" x14ac:dyDescent="0.2">
      <c r="A5" s="9" t="s">
        <v>2271</v>
      </c>
      <c r="B5" s="9">
        <v>8</v>
      </c>
      <c r="C5" s="9" t="s">
        <v>2270</v>
      </c>
      <c r="D5" s="10">
        <v>8.3333333333333329E-2</v>
      </c>
    </row>
    <row r="6" spans="1:4" x14ac:dyDescent="0.2">
      <c r="A6" s="9" t="s">
        <v>2269</v>
      </c>
      <c r="B6" s="9">
        <v>4</v>
      </c>
      <c r="C6" s="11">
        <v>208.70902777777778</v>
      </c>
      <c r="D6" s="10">
        <v>4.3055555555555555E-2</v>
      </c>
    </row>
    <row r="7" spans="1:4" x14ac:dyDescent="0.2">
      <c r="A7" s="9" t="s">
        <v>2268</v>
      </c>
      <c r="B7" s="9">
        <v>3</v>
      </c>
      <c r="C7" s="11">
        <v>268.67083333333335</v>
      </c>
      <c r="D7" s="10">
        <v>5.5555555555555558E-3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duobahlul_videos</vt:lpstr>
      <vt:lpstr>duobahlul_comments</vt:lpstr>
      <vt:lpstr>comments on saniaXduobahlul</vt:lpstr>
      <vt:lpstr>duo_bahlul_categories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nurwancareer@gmail.com</cp:lastModifiedBy>
  <dcterms:modified xsi:type="dcterms:W3CDTF">2026-07-30T04:53:31Z</dcterms:modified>
</cp:coreProperties>
</file>